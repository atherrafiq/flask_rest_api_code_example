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hi\Documents\"/>
    </mc:Choice>
  </mc:AlternateContent>
  <bookViews>
    <workbookView xWindow="0" yWindow="0" windowWidth="23040" windowHeight="9192" tabRatio="866"/>
  </bookViews>
  <sheets>
    <sheet name="TenderInfo" sheetId="1" r:id="rId1"/>
    <sheet name="DataForm" sheetId="2" r:id="rId2"/>
    <sheet name="Equipment_CostEstimators" sheetId="8" r:id="rId3"/>
    <sheet name="Equipment_DredgingEstimators" sheetId="9" r:id="rId4"/>
    <sheet name="Equipment_Total" sheetId="5" r:id="rId5"/>
    <sheet name="List" sheetId="3" r:id="rId6"/>
    <sheet name="Internal Equipment split" sheetId="7" r:id="rId7"/>
    <sheet name="DatabaseInput" sheetId="10" r:id="rId8"/>
  </sheets>
  <externalReferences>
    <externalReference r:id="rId9"/>
  </externalReferences>
  <definedNames>
    <definedName name="Bahraini">List!$F$6:$I$6</definedName>
    <definedName name="Bespoke">List!$F$5:$R$5</definedName>
    <definedName name="ContractForms">List!$E$2:$E$6</definedName>
    <definedName name="ECC">List!$F$3:$K$3</definedName>
    <definedName name="Fidic">List!$F$2:$O$2</definedName>
    <definedName name="ICE">List!$F$4:$K$4</definedName>
    <definedName name="YesNo">List!$C$15:$C$16</definedName>
  </definedNames>
  <calcPr calcId="162913"/>
</workbook>
</file>

<file path=xl/calcChain.xml><?xml version="1.0" encoding="utf-8"?>
<calcChain xmlns="http://schemas.openxmlformats.org/spreadsheetml/2006/main">
  <c r="P11" i="2" l="1"/>
  <c r="C6" i="9"/>
  <c r="C26" i="2"/>
  <c r="D27" i="2" l="1"/>
  <c r="E27" i="2"/>
  <c r="K27" i="2"/>
  <c r="M27" i="2"/>
  <c r="VK2" i="10" l="1"/>
  <c r="TM2" i="10"/>
  <c r="SP2" i="10"/>
  <c r="RQ2" i="10"/>
  <c r="QR2" i="10"/>
  <c r="K7" i="5"/>
  <c r="RO2" i="10" s="1"/>
  <c r="K8" i="5"/>
  <c r="RP2" i="10" s="1"/>
  <c r="K9" i="5"/>
  <c r="H7" i="5"/>
  <c r="I7" i="5"/>
  <c r="UL2" i="10" s="1"/>
  <c r="J7" i="5"/>
  <c r="H8" i="5"/>
  <c r="TN2" i="10" s="1"/>
  <c r="I8" i="5"/>
  <c r="UM2" i="10" s="1"/>
  <c r="J8" i="5"/>
  <c r="VL2" i="10" s="1"/>
  <c r="H9" i="5"/>
  <c r="TO2" i="10" s="1"/>
  <c r="I9" i="5"/>
  <c r="UN2" i="10" s="1"/>
  <c r="J9" i="5"/>
  <c r="VM2" i="10" s="1"/>
  <c r="C7" i="5"/>
  <c r="NS2" i="10" s="1"/>
  <c r="D7" i="5"/>
  <c r="OR2" i="10" s="1"/>
  <c r="E7" i="5"/>
  <c r="PQ2" i="10" s="1"/>
  <c r="F7" i="5"/>
  <c r="QP2" i="10" s="1"/>
  <c r="C8" i="5"/>
  <c r="NT2" i="10" s="1"/>
  <c r="D8" i="5"/>
  <c r="OS2" i="10" s="1"/>
  <c r="E8" i="5"/>
  <c r="PR2" i="10" s="1"/>
  <c r="F8" i="5"/>
  <c r="QQ2" i="10" s="1"/>
  <c r="C9" i="5"/>
  <c r="NU2" i="10" s="1"/>
  <c r="D9" i="5"/>
  <c r="OT2" i="10" s="1"/>
  <c r="E9" i="5"/>
  <c r="PS2" i="10" s="1"/>
  <c r="F9" i="5"/>
  <c r="B7" i="5"/>
  <c r="SN2" i="10" s="1"/>
  <c r="B8" i="5"/>
  <c r="SO2" i="10" s="1"/>
  <c r="B9" i="5"/>
  <c r="C36" i="9"/>
  <c r="D36" i="9"/>
  <c r="E36" i="9"/>
  <c r="F36" i="9"/>
  <c r="K36" i="9"/>
  <c r="L7" i="9"/>
  <c r="G7" i="9"/>
  <c r="G8" i="9"/>
  <c r="L8" i="9" s="1"/>
  <c r="G9" i="9"/>
  <c r="L9" i="9" s="1"/>
  <c r="C36" i="8"/>
  <c r="D36" i="8"/>
  <c r="E36" i="8"/>
  <c r="F36" i="8"/>
  <c r="K36" i="8"/>
  <c r="G7" i="8"/>
  <c r="L7" i="8" s="1"/>
  <c r="G8" i="8"/>
  <c r="L8" i="8" s="1"/>
  <c r="G9" i="8"/>
  <c r="L9" i="8" s="1"/>
  <c r="G8" i="5" l="1"/>
  <c r="L8" i="5" s="1"/>
  <c r="G7" i="5"/>
  <c r="L7" i="5" s="1"/>
  <c r="G9" i="5"/>
  <c r="L9" i="5" s="1"/>
  <c r="B2" i="10"/>
  <c r="B34" i="5" l="1"/>
  <c r="TJ2" i="10" s="1"/>
  <c r="B33" i="5"/>
  <c r="TI2" i="10" s="1"/>
  <c r="B32" i="5"/>
  <c r="TK2" i="10" s="1"/>
  <c r="F34" i="5"/>
  <c r="RL2" i="10" s="1"/>
  <c r="E34" i="5"/>
  <c r="QM2" i="10" s="1"/>
  <c r="D34" i="5"/>
  <c r="PN2" i="10" s="1"/>
  <c r="C34" i="5"/>
  <c r="OO2" i="10" s="1"/>
  <c r="F33" i="5"/>
  <c r="RK2" i="10" s="1"/>
  <c r="E33" i="5"/>
  <c r="QL2" i="10" s="1"/>
  <c r="D33" i="5"/>
  <c r="PM2" i="10" s="1"/>
  <c r="C33" i="5"/>
  <c r="ON2" i="10" s="1"/>
  <c r="F32" i="5"/>
  <c r="RM2" i="10" s="1"/>
  <c r="E32" i="5"/>
  <c r="QN2" i="10" s="1"/>
  <c r="D32" i="5"/>
  <c r="PO2" i="10" s="1"/>
  <c r="C32" i="5"/>
  <c r="OP2" i="10" s="1"/>
  <c r="H33" i="5"/>
  <c r="UH2" i="10" s="1"/>
  <c r="I33" i="5"/>
  <c r="VG2" i="10" s="1"/>
  <c r="J33" i="5"/>
  <c r="WF2" i="10" s="1"/>
  <c r="K33" i="5"/>
  <c r="SJ2" i="10" s="1"/>
  <c r="H34" i="5"/>
  <c r="UI2" i="10" s="1"/>
  <c r="I34" i="5"/>
  <c r="VH2" i="10" s="1"/>
  <c r="J34" i="5"/>
  <c r="WG2" i="10" s="1"/>
  <c r="K34" i="5"/>
  <c r="SK2" i="10" s="1"/>
  <c r="K32" i="5"/>
  <c r="SL2" i="10" s="1"/>
  <c r="J32" i="5"/>
  <c r="WH2" i="10" s="1"/>
  <c r="I32" i="5"/>
  <c r="VI2" i="10" s="1"/>
  <c r="H32" i="5"/>
  <c r="UJ2" i="10" s="1"/>
  <c r="MZ2" i="10" l="1"/>
  <c r="NA2" i="10"/>
  <c r="NB2" i="10"/>
  <c r="NC2" i="10"/>
  <c r="ND2" i="10"/>
  <c r="NE2" i="10"/>
  <c r="NF2" i="10"/>
  <c r="NG2" i="10"/>
  <c r="NH2" i="10"/>
  <c r="NI2" i="10"/>
  <c r="NJ2" i="10"/>
  <c r="NK2" i="10"/>
  <c r="NL2" i="10"/>
  <c r="NM2" i="10"/>
  <c r="NN2" i="10"/>
  <c r="NO2" i="10"/>
  <c r="NP2" i="10"/>
  <c r="NQ2" i="10"/>
  <c r="MH2" i="10"/>
  <c r="MI2" i="10"/>
  <c r="MJ2" i="10"/>
  <c r="MK2" i="10"/>
  <c r="ML2" i="10"/>
  <c r="MM2" i="10"/>
  <c r="MN2" i="10"/>
  <c r="MO2" i="10"/>
  <c r="MP2" i="10"/>
  <c r="MQ2" i="10"/>
  <c r="MR2" i="10"/>
  <c r="MS2" i="10"/>
  <c r="MT2" i="10"/>
  <c r="MU2" i="10"/>
  <c r="MV2" i="10"/>
  <c r="MW2" i="10"/>
  <c r="MX2" i="10"/>
  <c r="MY2" i="10"/>
  <c r="LP2" i="10"/>
  <c r="LQ2" i="10"/>
  <c r="LR2" i="10"/>
  <c r="LS2" i="10"/>
  <c r="LT2" i="10"/>
  <c r="LU2" i="10"/>
  <c r="LV2" i="10"/>
  <c r="LW2" i="10"/>
  <c r="LX2" i="10"/>
  <c r="LY2" i="10"/>
  <c r="LZ2" i="10"/>
  <c r="MA2" i="10"/>
  <c r="MB2" i="10"/>
  <c r="MC2" i="10"/>
  <c r="MD2" i="10"/>
  <c r="ME2" i="10"/>
  <c r="MF2" i="10"/>
  <c r="MG2" i="10"/>
  <c r="KX2" i="10"/>
  <c r="KY2" i="10"/>
  <c r="KZ2" i="10"/>
  <c r="LA2" i="10"/>
  <c r="LB2" i="10"/>
  <c r="LC2" i="10"/>
  <c r="LD2" i="10"/>
  <c r="LE2" i="10"/>
  <c r="LF2" i="10"/>
  <c r="LG2" i="10"/>
  <c r="LH2" i="10"/>
  <c r="LI2" i="10"/>
  <c r="LJ2" i="10"/>
  <c r="LK2" i="10"/>
  <c r="LL2" i="10"/>
  <c r="LM2" i="10"/>
  <c r="LN2" i="10"/>
  <c r="LO2" i="10"/>
  <c r="KF2" i="10"/>
  <c r="KG2" i="10"/>
  <c r="KH2" i="10"/>
  <c r="KI2" i="10"/>
  <c r="KJ2" i="10"/>
  <c r="KK2" i="10"/>
  <c r="KL2" i="10"/>
  <c r="KM2" i="10"/>
  <c r="KN2" i="10"/>
  <c r="KO2" i="10"/>
  <c r="KP2" i="10"/>
  <c r="KQ2" i="10"/>
  <c r="KR2" i="10"/>
  <c r="KS2" i="10"/>
  <c r="KT2" i="10"/>
  <c r="KU2" i="10"/>
  <c r="KV2" i="10"/>
  <c r="KW2" i="10"/>
  <c r="JN2" i="10"/>
  <c r="JO2" i="10"/>
  <c r="JP2" i="10"/>
  <c r="JQ2" i="10"/>
  <c r="JR2" i="10"/>
  <c r="JS2" i="10"/>
  <c r="JT2" i="10"/>
  <c r="JU2" i="10"/>
  <c r="JV2" i="10"/>
  <c r="JW2" i="10"/>
  <c r="JX2" i="10"/>
  <c r="JY2" i="10"/>
  <c r="JZ2" i="10"/>
  <c r="KA2" i="10"/>
  <c r="KB2" i="10"/>
  <c r="KC2" i="10"/>
  <c r="KD2" i="10"/>
  <c r="KE2" i="10"/>
  <c r="IV2" i="10"/>
  <c r="IW2" i="10"/>
  <c r="IX2" i="10"/>
  <c r="IY2" i="10"/>
  <c r="IZ2" i="10"/>
  <c r="JA2" i="10"/>
  <c r="JB2" i="10"/>
  <c r="JC2" i="10"/>
  <c r="JD2" i="10"/>
  <c r="JE2" i="10"/>
  <c r="JF2" i="10"/>
  <c r="JG2" i="10"/>
  <c r="JH2" i="10"/>
  <c r="JI2" i="10"/>
  <c r="JJ2" i="10"/>
  <c r="JK2" i="10"/>
  <c r="JL2" i="10"/>
  <c r="JM2" i="10"/>
  <c r="ID2" i="10"/>
  <c r="IE2" i="10"/>
  <c r="IF2" i="10"/>
  <c r="IG2" i="10"/>
  <c r="IH2" i="10"/>
  <c r="II2" i="10"/>
  <c r="IJ2" i="10"/>
  <c r="IK2" i="10"/>
  <c r="IL2" i="10"/>
  <c r="IM2" i="10"/>
  <c r="IN2" i="10"/>
  <c r="IO2" i="10"/>
  <c r="IP2" i="10"/>
  <c r="IQ2" i="10"/>
  <c r="IR2" i="10"/>
  <c r="IS2" i="10"/>
  <c r="IT2" i="10"/>
  <c r="IU2" i="10"/>
  <c r="HL2" i="10" l="1"/>
  <c r="HM2" i="10"/>
  <c r="HN2" i="10"/>
  <c r="HO2" i="10"/>
  <c r="HP2" i="10"/>
  <c r="HQ2" i="10"/>
  <c r="HR2" i="10"/>
  <c r="HS2" i="10"/>
  <c r="HT2" i="10"/>
  <c r="HU2" i="10"/>
  <c r="HV2" i="10"/>
  <c r="HW2" i="10"/>
  <c r="HX2" i="10"/>
  <c r="HY2" i="10"/>
  <c r="HZ2" i="10"/>
  <c r="IA2" i="10"/>
  <c r="IB2" i="10"/>
  <c r="IC2" i="10"/>
  <c r="GT2" i="10"/>
  <c r="GU2" i="10"/>
  <c r="GV2" i="10"/>
  <c r="GW2" i="10"/>
  <c r="GX2" i="10"/>
  <c r="GY2" i="10"/>
  <c r="GZ2" i="10"/>
  <c r="HA2" i="10"/>
  <c r="HB2" i="10"/>
  <c r="HC2" i="10"/>
  <c r="HD2" i="10"/>
  <c r="HE2" i="10"/>
  <c r="HF2" i="10"/>
  <c r="HG2" i="10"/>
  <c r="HH2" i="10"/>
  <c r="HI2" i="10"/>
  <c r="HJ2" i="10"/>
  <c r="HK2" i="10"/>
  <c r="GB2" i="10"/>
  <c r="GC2" i="10"/>
  <c r="GD2" i="10"/>
  <c r="GE2" i="10"/>
  <c r="GF2" i="10"/>
  <c r="GG2" i="10"/>
  <c r="GH2" i="10"/>
  <c r="GI2" i="10"/>
  <c r="GJ2" i="10"/>
  <c r="GK2" i="10"/>
  <c r="GL2" i="10"/>
  <c r="GM2" i="10"/>
  <c r="GN2" i="10"/>
  <c r="GO2" i="10"/>
  <c r="GP2" i="10"/>
  <c r="GQ2" i="10"/>
  <c r="GR2" i="10"/>
  <c r="GS2" i="10"/>
  <c r="FJ2" i="10"/>
  <c r="FK2" i="10"/>
  <c r="FL2" i="10"/>
  <c r="FM2" i="10"/>
  <c r="FN2" i="10"/>
  <c r="FO2" i="10"/>
  <c r="FP2" i="10"/>
  <c r="FQ2" i="10"/>
  <c r="FR2" i="10"/>
  <c r="FS2" i="10"/>
  <c r="FT2" i="10"/>
  <c r="FU2" i="10"/>
  <c r="FV2" i="10"/>
  <c r="FW2" i="10"/>
  <c r="FX2" i="10"/>
  <c r="FY2" i="10"/>
  <c r="FZ2" i="10"/>
  <c r="GA2" i="10"/>
  <c r="ER2" i="10"/>
  <c r="ES2" i="10"/>
  <c r="ET2" i="10"/>
  <c r="EU2" i="10"/>
  <c r="EV2" i="10"/>
  <c r="EW2" i="10"/>
  <c r="EX2" i="10"/>
  <c r="EY2" i="10"/>
  <c r="EZ2" i="10"/>
  <c r="FA2" i="10"/>
  <c r="FB2" i="10"/>
  <c r="FC2" i="10"/>
  <c r="FD2" i="10"/>
  <c r="FE2" i="10"/>
  <c r="FF2" i="10"/>
  <c r="FG2" i="10"/>
  <c r="FH2" i="10"/>
  <c r="FI2" i="10"/>
  <c r="DZ2" i="10"/>
  <c r="EA2" i="10"/>
  <c r="EB2" i="10"/>
  <c r="EC2" i="10"/>
  <c r="ED2" i="10"/>
  <c r="EE2" i="10"/>
  <c r="EF2" i="10"/>
  <c r="EG2" i="10"/>
  <c r="EH2" i="10"/>
  <c r="EI2" i="10"/>
  <c r="EJ2" i="10"/>
  <c r="EK2" i="10"/>
  <c r="EL2" i="10"/>
  <c r="EM2" i="10"/>
  <c r="EN2" i="10"/>
  <c r="EO2" i="10"/>
  <c r="EP2" i="10"/>
  <c r="EQ2" i="10"/>
  <c r="DH2" i="10"/>
  <c r="DI2" i="10"/>
  <c r="DJ2" i="10"/>
  <c r="DK2" i="10"/>
  <c r="DL2" i="10"/>
  <c r="DM2" i="10"/>
  <c r="DN2" i="10"/>
  <c r="DO2" i="10"/>
  <c r="DP2" i="10"/>
  <c r="DQ2" i="10"/>
  <c r="DR2" i="10"/>
  <c r="DS2" i="10"/>
  <c r="DT2" i="10"/>
  <c r="DU2" i="10"/>
  <c r="DV2" i="10"/>
  <c r="DW2" i="10"/>
  <c r="DX2" i="10"/>
  <c r="DY2" i="10"/>
  <c r="CP2" i="10"/>
  <c r="CQ2" i="10"/>
  <c r="CR2" i="10"/>
  <c r="CS2" i="10"/>
  <c r="CT2" i="10"/>
  <c r="CU2" i="10"/>
  <c r="CV2" i="10"/>
  <c r="CW2" i="10"/>
  <c r="CX2" i="10"/>
  <c r="CY2" i="10"/>
  <c r="CZ2" i="10"/>
  <c r="DA2" i="10"/>
  <c r="DB2" i="10"/>
  <c r="DC2" i="10"/>
  <c r="DD2" i="10"/>
  <c r="DE2" i="10"/>
  <c r="DF2" i="10"/>
  <c r="DG2" i="10"/>
  <c r="BX2" i="10"/>
  <c r="BY2" i="10"/>
  <c r="BZ2" i="10"/>
  <c r="CA2" i="10"/>
  <c r="CB2" i="10"/>
  <c r="CC2" i="10"/>
  <c r="CD2" i="10"/>
  <c r="CE2" i="10"/>
  <c r="CF2" i="10"/>
  <c r="CG2" i="10"/>
  <c r="CH2" i="10"/>
  <c r="CI2" i="10"/>
  <c r="CJ2" i="10"/>
  <c r="CK2" i="10"/>
  <c r="CL2" i="10"/>
  <c r="CM2" i="10"/>
  <c r="CN2" i="10"/>
  <c r="CO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BV2" i="10"/>
  <c r="BW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AC2" i="10"/>
  <c r="AD2" i="10"/>
  <c r="L2" i="10"/>
  <c r="K2" i="10"/>
  <c r="J2" i="10"/>
  <c r="V2" i="10"/>
  <c r="W2" i="10"/>
  <c r="X2" i="10"/>
  <c r="Y2" i="10"/>
  <c r="Z2" i="10"/>
  <c r="AA2" i="10"/>
  <c r="AB2" i="10"/>
  <c r="AE2" i="10"/>
  <c r="AF2" i="10"/>
  <c r="AG2" i="10"/>
  <c r="AH2" i="10"/>
  <c r="AI2" i="10"/>
  <c r="AJ2" i="10"/>
  <c r="AK2" i="10"/>
  <c r="AL2" i="10"/>
  <c r="AM2" i="10"/>
  <c r="U2" i="10"/>
  <c r="T2" i="10"/>
  <c r="R2" i="10"/>
  <c r="S2" i="10"/>
  <c r="Q2" i="10"/>
  <c r="P2" i="10"/>
  <c r="O2" i="10"/>
  <c r="N2" i="10"/>
  <c r="M2" i="10"/>
  <c r="G2" i="10"/>
  <c r="H2" i="10"/>
  <c r="I2" i="10"/>
  <c r="F2" i="10"/>
  <c r="E2" i="10"/>
  <c r="D2" i="10"/>
  <c r="A2" i="10" l="1"/>
  <c r="C2" i="10" s="1"/>
  <c r="B27" i="5"/>
  <c r="TF2" i="10" s="1"/>
  <c r="C27" i="5"/>
  <c r="D27" i="5"/>
  <c r="PJ2" i="10" s="1"/>
  <c r="E27" i="5"/>
  <c r="QI2" i="10" s="1"/>
  <c r="F27" i="5"/>
  <c r="RH2" i="10" s="1"/>
  <c r="B28" i="5"/>
  <c r="TG2" i="10" s="1"/>
  <c r="C28" i="5"/>
  <c r="D28" i="5"/>
  <c r="PK2" i="10" s="1"/>
  <c r="E28" i="5"/>
  <c r="QJ2" i="10" s="1"/>
  <c r="F28" i="5"/>
  <c r="B29" i="5"/>
  <c r="TH2" i="10" s="1"/>
  <c r="C29" i="5"/>
  <c r="D29" i="5"/>
  <c r="PL2" i="10" s="1"/>
  <c r="E29" i="5"/>
  <c r="QK2" i="10" s="1"/>
  <c r="F29" i="5"/>
  <c r="RJ2" i="10" s="1"/>
  <c r="K29" i="5"/>
  <c r="SI2" i="10" s="1"/>
  <c r="J29" i="5"/>
  <c r="WE2" i="10" s="1"/>
  <c r="I29" i="5"/>
  <c r="VF2" i="10" s="1"/>
  <c r="H29" i="5"/>
  <c r="UG2" i="10" s="1"/>
  <c r="K28" i="5"/>
  <c r="SH2" i="10" s="1"/>
  <c r="J28" i="5"/>
  <c r="WD2" i="10" s="1"/>
  <c r="I28" i="5"/>
  <c r="VE2" i="10" s="1"/>
  <c r="H28" i="5"/>
  <c r="UF2" i="10" s="1"/>
  <c r="K27" i="5"/>
  <c r="SG2" i="10" s="1"/>
  <c r="J27" i="5"/>
  <c r="WC2" i="10" s="1"/>
  <c r="I27" i="5"/>
  <c r="VD2" i="10" s="1"/>
  <c r="H27" i="5"/>
  <c r="UE2" i="10" s="1"/>
  <c r="K26" i="5"/>
  <c r="SF2" i="10" s="1"/>
  <c r="J26" i="5"/>
  <c r="WB2" i="10" s="1"/>
  <c r="I26" i="5"/>
  <c r="VC2" i="10" s="1"/>
  <c r="H26" i="5"/>
  <c r="UD2" i="10" s="1"/>
  <c r="K25" i="5"/>
  <c r="SE2" i="10" s="1"/>
  <c r="J25" i="5"/>
  <c r="WA2" i="10" s="1"/>
  <c r="I25" i="5"/>
  <c r="VB2" i="10" s="1"/>
  <c r="H25" i="5"/>
  <c r="UC2" i="10" s="1"/>
  <c r="K24" i="5"/>
  <c r="SD2" i="10" s="1"/>
  <c r="J24" i="5"/>
  <c r="VZ2" i="10" s="1"/>
  <c r="I24" i="5"/>
  <c r="VA2" i="10" s="1"/>
  <c r="H24" i="5"/>
  <c r="UB2" i="10" s="1"/>
  <c r="K23" i="5"/>
  <c r="SC2" i="10" s="1"/>
  <c r="J23" i="5"/>
  <c r="VY2" i="10" s="1"/>
  <c r="I23" i="5"/>
  <c r="UZ2" i="10" s="1"/>
  <c r="H23" i="5"/>
  <c r="UA2" i="10" s="1"/>
  <c r="K22" i="5"/>
  <c r="SB2" i="10" s="1"/>
  <c r="J22" i="5"/>
  <c r="VX2" i="10" s="1"/>
  <c r="I22" i="5"/>
  <c r="UY2" i="10" s="1"/>
  <c r="H22" i="5"/>
  <c r="TZ2" i="10" s="1"/>
  <c r="K21" i="5"/>
  <c r="SA2" i="10" s="1"/>
  <c r="J21" i="5"/>
  <c r="VW2" i="10" s="1"/>
  <c r="I21" i="5"/>
  <c r="UX2" i="10" s="1"/>
  <c r="H21" i="5"/>
  <c r="TY2" i="10" s="1"/>
  <c r="K20" i="5"/>
  <c r="RZ2" i="10" s="1"/>
  <c r="J20" i="5"/>
  <c r="VV2" i="10" s="1"/>
  <c r="I20" i="5"/>
  <c r="UW2" i="10" s="1"/>
  <c r="H20" i="5"/>
  <c r="TX2" i="10" s="1"/>
  <c r="K19" i="5"/>
  <c r="RY2" i="10" s="1"/>
  <c r="J19" i="5"/>
  <c r="VU2" i="10" s="1"/>
  <c r="I19" i="5"/>
  <c r="UV2" i="10" s="1"/>
  <c r="H19" i="5"/>
  <c r="TW2" i="10" s="1"/>
  <c r="B19" i="5"/>
  <c r="SX2" i="10" s="1"/>
  <c r="B20" i="5"/>
  <c r="SY2" i="10" s="1"/>
  <c r="B21" i="5"/>
  <c r="SZ2" i="10" s="1"/>
  <c r="B22" i="5"/>
  <c r="TA2" i="10" s="1"/>
  <c r="B23" i="5"/>
  <c r="TB2" i="10" s="1"/>
  <c r="B24" i="5"/>
  <c r="TC2" i="10" s="1"/>
  <c r="B25" i="5"/>
  <c r="TD2" i="10" s="1"/>
  <c r="B26" i="5"/>
  <c r="TE2" i="10" s="1"/>
  <c r="F26" i="5"/>
  <c r="RG2" i="10" s="1"/>
  <c r="E26" i="5"/>
  <c r="QH2" i="10" s="1"/>
  <c r="D26" i="5"/>
  <c r="PI2" i="10" s="1"/>
  <c r="C26" i="5"/>
  <c r="F25" i="5"/>
  <c r="RF2" i="10" s="1"/>
  <c r="E25" i="5"/>
  <c r="QG2" i="10" s="1"/>
  <c r="D25" i="5"/>
  <c r="PH2" i="10" s="1"/>
  <c r="C25" i="5"/>
  <c r="F24" i="5"/>
  <c r="RE2" i="10" s="1"/>
  <c r="E24" i="5"/>
  <c r="QF2" i="10" s="1"/>
  <c r="D24" i="5"/>
  <c r="PG2" i="10" s="1"/>
  <c r="C24" i="5"/>
  <c r="F23" i="5"/>
  <c r="RD2" i="10" s="1"/>
  <c r="E23" i="5"/>
  <c r="QE2" i="10" s="1"/>
  <c r="D23" i="5"/>
  <c r="PF2" i="10" s="1"/>
  <c r="C23" i="5"/>
  <c r="F22" i="5"/>
  <c r="RC2" i="10" s="1"/>
  <c r="E22" i="5"/>
  <c r="QD2" i="10" s="1"/>
  <c r="D22" i="5"/>
  <c r="PE2" i="10" s="1"/>
  <c r="C22" i="5"/>
  <c r="F21" i="5"/>
  <c r="RB2" i="10" s="1"/>
  <c r="E21" i="5"/>
  <c r="QC2" i="10" s="1"/>
  <c r="D21" i="5"/>
  <c r="PD2" i="10" s="1"/>
  <c r="C21" i="5"/>
  <c r="F20" i="5"/>
  <c r="RA2" i="10" s="1"/>
  <c r="E20" i="5"/>
  <c r="QB2" i="10" s="1"/>
  <c r="D20" i="5"/>
  <c r="PC2" i="10" s="1"/>
  <c r="C20" i="5"/>
  <c r="F19" i="5"/>
  <c r="QZ2" i="10" s="1"/>
  <c r="E19" i="5"/>
  <c r="QA2" i="10" s="1"/>
  <c r="D19" i="5"/>
  <c r="PB2" i="10" s="1"/>
  <c r="C19" i="5"/>
  <c r="K16" i="5"/>
  <c r="RX2" i="10" s="1"/>
  <c r="J16" i="5"/>
  <c r="VT2" i="10" s="1"/>
  <c r="I16" i="5"/>
  <c r="UU2" i="10" s="1"/>
  <c r="H16" i="5"/>
  <c r="TV2" i="10" s="1"/>
  <c r="K15" i="5"/>
  <c r="RW2" i="10" s="1"/>
  <c r="J15" i="5"/>
  <c r="VS2" i="10" s="1"/>
  <c r="I15" i="5"/>
  <c r="UT2" i="10" s="1"/>
  <c r="H15" i="5"/>
  <c r="TU2" i="10" s="1"/>
  <c r="K14" i="5"/>
  <c r="RV2" i="10" s="1"/>
  <c r="J14" i="5"/>
  <c r="VR2" i="10" s="1"/>
  <c r="I14" i="5"/>
  <c r="US2" i="10" s="1"/>
  <c r="H14" i="5"/>
  <c r="TT2" i="10" s="1"/>
  <c r="K13" i="5"/>
  <c r="RU2" i="10" s="1"/>
  <c r="J13" i="5"/>
  <c r="VQ2" i="10" s="1"/>
  <c r="I13" i="5"/>
  <c r="UR2" i="10" s="1"/>
  <c r="H13" i="5"/>
  <c r="TS2" i="10" s="1"/>
  <c r="K12" i="5"/>
  <c r="J12" i="5"/>
  <c r="VP2" i="10" s="1"/>
  <c r="I12" i="5"/>
  <c r="UQ2" i="10" s="1"/>
  <c r="H12" i="5"/>
  <c r="TR2" i="10" s="1"/>
  <c r="K11" i="5"/>
  <c r="RS2" i="10" s="1"/>
  <c r="J11" i="5"/>
  <c r="VO2" i="10" s="1"/>
  <c r="I11" i="5"/>
  <c r="UP2" i="10" s="1"/>
  <c r="H11" i="5"/>
  <c r="TQ2" i="10" s="1"/>
  <c r="K10" i="5"/>
  <c r="RR2" i="10" s="1"/>
  <c r="J10" i="5"/>
  <c r="VN2" i="10" s="1"/>
  <c r="I10" i="5"/>
  <c r="UO2" i="10" s="1"/>
  <c r="H10" i="5"/>
  <c r="TP2" i="10" s="1"/>
  <c r="K6" i="5"/>
  <c r="RN2" i="10" s="1"/>
  <c r="J6" i="5"/>
  <c r="VJ2" i="10" s="1"/>
  <c r="I6" i="5"/>
  <c r="UK2" i="10" s="1"/>
  <c r="H6" i="5"/>
  <c r="TL2" i="10" s="1"/>
  <c r="B10" i="5"/>
  <c r="SQ2" i="10" s="1"/>
  <c r="C10" i="5"/>
  <c r="NV2" i="10" s="1"/>
  <c r="D10" i="5"/>
  <c r="OU2" i="10" s="1"/>
  <c r="E10" i="5"/>
  <c r="PT2" i="10" s="1"/>
  <c r="F10" i="5"/>
  <c r="QS2" i="10" s="1"/>
  <c r="B11" i="5"/>
  <c r="SR2" i="10" s="1"/>
  <c r="C11" i="5"/>
  <c r="NW2" i="10" s="1"/>
  <c r="D11" i="5"/>
  <c r="OV2" i="10" s="1"/>
  <c r="E11" i="5"/>
  <c r="PU2" i="10" s="1"/>
  <c r="F11" i="5"/>
  <c r="QT2" i="10" s="1"/>
  <c r="B12" i="5"/>
  <c r="SS2" i="10" s="1"/>
  <c r="C12" i="5"/>
  <c r="NX2" i="10" s="1"/>
  <c r="D12" i="5"/>
  <c r="OW2" i="10" s="1"/>
  <c r="E12" i="5"/>
  <c r="PV2" i="10" s="1"/>
  <c r="F12" i="5"/>
  <c r="QU2" i="10" s="1"/>
  <c r="B13" i="5"/>
  <c r="ST2" i="10" s="1"/>
  <c r="C13" i="5"/>
  <c r="D13" i="5"/>
  <c r="E13" i="5"/>
  <c r="F13" i="5"/>
  <c r="B14" i="5"/>
  <c r="SU2" i="10" s="1"/>
  <c r="C14" i="5"/>
  <c r="NZ2" i="10" s="1"/>
  <c r="D14" i="5"/>
  <c r="OY2" i="10" s="1"/>
  <c r="E14" i="5"/>
  <c r="PX2" i="10" s="1"/>
  <c r="F14" i="5"/>
  <c r="QW2" i="10" s="1"/>
  <c r="B15" i="5"/>
  <c r="SV2" i="10" s="1"/>
  <c r="C15" i="5"/>
  <c r="OA2" i="10" s="1"/>
  <c r="D15" i="5"/>
  <c r="OZ2" i="10" s="1"/>
  <c r="E15" i="5"/>
  <c r="PY2" i="10" s="1"/>
  <c r="F15" i="5"/>
  <c r="QX2" i="10" s="1"/>
  <c r="B16" i="5"/>
  <c r="SW2" i="10" s="1"/>
  <c r="C16" i="5"/>
  <c r="OB2" i="10" s="1"/>
  <c r="D16" i="5"/>
  <c r="PA2" i="10" s="1"/>
  <c r="E16" i="5"/>
  <c r="PZ2" i="10" s="1"/>
  <c r="F16" i="5"/>
  <c r="QY2" i="10" s="1"/>
  <c r="D6" i="5"/>
  <c r="E6" i="5"/>
  <c r="F6" i="5"/>
  <c r="B6" i="5"/>
  <c r="SM2" i="10" s="1"/>
  <c r="C6" i="5"/>
  <c r="C37" i="9"/>
  <c r="G34" i="9"/>
  <c r="L34" i="9" s="1"/>
  <c r="L33" i="9"/>
  <c r="G33" i="9"/>
  <c r="G32" i="9"/>
  <c r="L29" i="9"/>
  <c r="G29" i="9"/>
  <c r="G28" i="9"/>
  <c r="L28" i="9" s="1"/>
  <c r="L27" i="9"/>
  <c r="G27" i="9"/>
  <c r="G26" i="9"/>
  <c r="L26" i="9" s="1"/>
  <c r="L25" i="9"/>
  <c r="G25" i="9"/>
  <c r="G24" i="9"/>
  <c r="L24" i="9" s="1"/>
  <c r="G23" i="9"/>
  <c r="L23" i="9" s="1"/>
  <c r="G22" i="9"/>
  <c r="L22" i="9" s="1"/>
  <c r="G21" i="9"/>
  <c r="L21" i="9" s="1"/>
  <c r="G20" i="9"/>
  <c r="L20" i="9" s="1"/>
  <c r="G19" i="9"/>
  <c r="L19" i="9" s="1"/>
  <c r="G16" i="9"/>
  <c r="L16" i="9" s="1"/>
  <c r="G15" i="9"/>
  <c r="L15" i="9" s="1"/>
  <c r="G14" i="9"/>
  <c r="L14" i="9" s="1"/>
  <c r="G13" i="9"/>
  <c r="L13" i="9" s="1"/>
  <c r="G12" i="9"/>
  <c r="L12" i="9" s="1"/>
  <c r="G11" i="9"/>
  <c r="L11" i="9" s="1"/>
  <c r="G10" i="9"/>
  <c r="L10" i="9" s="1"/>
  <c r="G6" i="9"/>
  <c r="G34" i="8"/>
  <c r="L34" i="8" s="1"/>
  <c r="G33" i="8"/>
  <c r="L33" i="8" s="1"/>
  <c r="G32" i="8"/>
  <c r="L32" i="8" s="1"/>
  <c r="G29" i="8"/>
  <c r="L29" i="8" s="1"/>
  <c r="G28" i="8"/>
  <c r="L28" i="8" s="1"/>
  <c r="G27" i="8"/>
  <c r="L27" i="8" s="1"/>
  <c r="G26" i="8"/>
  <c r="L26" i="8" s="1"/>
  <c r="G25" i="8"/>
  <c r="L25" i="8" s="1"/>
  <c r="G24" i="8"/>
  <c r="L24" i="8" s="1"/>
  <c r="G23" i="8"/>
  <c r="L23" i="8" s="1"/>
  <c r="G22" i="8"/>
  <c r="L22" i="8" s="1"/>
  <c r="G21" i="8"/>
  <c r="L21" i="8" s="1"/>
  <c r="G20" i="8"/>
  <c r="L20" i="8" s="1"/>
  <c r="G19" i="8"/>
  <c r="L19" i="8" s="1"/>
  <c r="G16" i="8"/>
  <c r="L16" i="8" s="1"/>
  <c r="G15" i="8"/>
  <c r="L15" i="8" s="1"/>
  <c r="G14" i="8"/>
  <c r="L14" i="8" s="1"/>
  <c r="G13" i="8"/>
  <c r="L13" i="8" s="1"/>
  <c r="G12" i="8"/>
  <c r="L12" i="8" s="1"/>
  <c r="G11" i="8"/>
  <c r="L11" i="8" s="1"/>
  <c r="G10" i="8"/>
  <c r="L10" i="8" s="1"/>
  <c r="G6" i="8"/>
  <c r="L6" i="9" l="1"/>
  <c r="G36" i="9"/>
  <c r="RT2" i="10"/>
  <c r="K36" i="5"/>
  <c r="QV2" i="10"/>
  <c r="F36" i="5"/>
  <c r="NY2" i="10"/>
  <c r="C36" i="5"/>
  <c r="PW2" i="10"/>
  <c r="E36" i="5"/>
  <c r="OX2" i="10"/>
  <c r="D36" i="5"/>
  <c r="L6" i="8"/>
  <c r="G36" i="8"/>
  <c r="L36" i="8" s="1"/>
  <c r="QO2" i="10"/>
  <c r="PP2" i="10"/>
  <c r="NR2" i="10"/>
  <c r="OQ2" i="10"/>
  <c r="G29" i="5"/>
  <c r="OM2" i="10"/>
  <c r="G32" i="5"/>
  <c r="OL2" i="10"/>
  <c r="G34" i="5"/>
  <c r="G28" i="5"/>
  <c r="L28" i="5" s="1"/>
  <c r="RI2" i="10"/>
  <c r="G27" i="5"/>
  <c r="L27" i="5" s="1"/>
  <c r="OK2" i="10"/>
  <c r="G33" i="5"/>
  <c r="OC2" i="10"/>
  <c r="OD2" i="10"/>
  <c r="OE2" i="10"/>
  <c r="OF2" i="10"/>
  <c r="OG2" i="10"/>
  <c r="OH2" i="10"/>
  <c r="OI2" i="10"/>
  <c r="OJ2" i="10"/>
  <c r="C37" i="8"/>
  <c r="L36" i="9"/>
  <c r="L32" i="9"/>
  <c r="G24" i="5"/>
  <c r="L24" i="5" s="1"/>
  <c r="G25" i="5"/>
  <c r="L25" i="5" s="1"/>
  <c r="G26" i="5"/>
  <c r="L26" i="5" s="1"/>
  <c r="Q16" i="2" l="1"/>
  <c r="Q12" i="2"/>
  <c r="Q11" i="2"/>
  <c r="L33" i="5"/>
  <c r="L34" i="5"/>
  <c r="G20" i="5" l="1"/>
  <c r="L20" i="5" s="1"/>
  <c r="G21" i="5"/>
  <c r="L21" i="5" s="1"/>
  <c r="G22" i="5"/>
  <c r="L22" i="5" s="1"/>
  <c r="G23" i="5"/>
  <c r="L23" i="5" s="1"/>
  <c r="L29" i="5"/>
  <c r="G19" i="5"/>
  <c r="L19" i="5" s="1"/>
  <c r="G10" i="5"/>
  <c r="L10" i="5" s="1"/>
  <c r="G11" i="5"/>
  <c r="L11" i="5" s="1"/>
  <c r="G12" i="5"/>
  <c r="L12" i="5" s="1"/>
  <c r="G13" i="5"/>
  <c r="G14" i="5"/>
  <c r="L14" i="5" s="1"/>
  <c r="G15" i="5"/>
  <c r="L15" i="5" s="1"/>
  <c r="G16" i="5"/>
  <c r="L16" i="5" s="1"/>
  <c r="G6" i="5"/>
  <c r="L6" i="5" s="1"/>
  <c r="L13" i="5" l="1"/>
  <c r="G36" i="5"/>
  <c r="L32" i="5"/>
  <c r="L36" i="5" l="1"/>
  <c r="D15" i="2" l="1"/>
  <c r="E15" i="2"/>
  <c r="F15" i="2"/>
  <c r="G15" i="2"/>
  <c r="H15" i="2"/>
  <c r="I15" i="2"/>
  <c r="J15" i="2"/>
  <c r="K15" i="2"/>
  <c r="M15" i="2"/>
  <c r="N15" i="2"/>
  <c r="O15" i="2"/>
  <c r="P15" i="2"/>
  <c r="C15" i="2"/>
  <c r="Q40" i="2"/>
  <c r="Q38" i="2"/>
  <c r="Q37" i="2"/>
  <c r="Q27" i="2"/>
  <c r="Q28" i="2"/>
  <c r="Q29" i="2"/>
  <c r="Q30" i="2"/>
  <c r="Q31" i="2"/>
  <c r="Q32" i="2"/>
  <c r="Q33" i="2"/>
  <c r="Q34" i="2"/>
  <c r="Q26" i="2"/>
  <c r="Q21" i="2"/>
  <c r="Q22" i="2"/>
  <c r="Q23" i="2"/>
  <c r="Q20" i="2"/>
  <c r="Q17" i="2"/>
  <c r="Q18" i="2"/>
  <c r="P36" i="2"/>
  <c r="P25" i="2"/>
  <c r="P19" i="2"/>
  <c r="P10" i="2"/>
  <c r="P14" i="2" l="1"/>
  <c r="P42" i="2" s="1"/>
  <c r="C37" i="5" l="1"/>
  <c r="F19" i="2"/>
  <c r="G19" i="2"/>
  <c r="G14" i="2" s="1"/>
  <c r="H19" i="2"/>
  <c r="H14" i="2" s="1"/>
  <c r="I19" i="2"/>
  <c r="I14" i="2" s="1"/>
  <c r="J19" i="2"/>
  <c r="K19" i="2"/>
  <c r="K14" i="2" s="1"/>
  <c r="F25" i="2"/>
  <c r="G25" i="2"/>
  <c r="H25" i="2"/>
  <c r="I25" i="2"/>
  <c r="J25" i="2"/>
  <c r="K25" i="2"/>
  <c r="H36" i="2"/>
  <c r="I36" i="2"/>
  <c r="J36" i="2"/>
  <c r="K36" i="2"/>
  <c r="G36" i="2"/>
  <c r="F36" i="2"/>
  <c r="L40" i="2"/>
  <c r="K10" i="2"/>
  <c r="H10" i="2"/>
  <c r="I10" i="2"/>
  <c r="J10" i="2"/>
  <c r="G10" i="2"/>
  <c r="F10" i="2"/>
  <c r="L15" i="2" l="1"/>
  <c r="H42" i="2"/>
  <c r="J14" i="2"/>
  <c r="J42" i="2" s="1"/>
  <c r="K42" i="2"/>
  <c r="F14" i="2"/>
  <c r="I42" i="2"/>
  <c r="G42" i="2"/>
  <c r="F42" i="2" l="1"/>
  <c r="U11" i="2" l="1"/>
  <c r="X11" i="2" s="1"/>
  <c r="U12" i="2"/>
  <c r="X12" i="2" s="1"/>
  <c r="U16" i="2"/>
  <c r="U17" i="2"/>
  <c r="X17" i="2" s="1"/>
  <c r="U18" i="2"/>
  <c r="X18" i="2" s="1"/>
  <c r="U20" i="2"/>
  <c r="X20" i="2" s="1"/>
  <c r="U21" i="2"/>
  <c r="X21" i="2" s="1"/>
  <c r="U22" i="2"/>
  <c r="X22" i="2" s="1"/>
  <c r="U23" i="2"/>
  <c r="X23" i="2" s="1"/>
  <c r="U26" i="2"/>
  <c r="X26" i="2" s="1"/>
  <c r="U27" i="2"/>
  <c r="X27" i="2" s="1"/>
  <c r="U28" i="2"/>
  <c r="X28" i="2" s="1"/>
  <c r="U29" i="2"/>
  <c r="X29" i="2" s="1"/>
  <c r="U30" i="2"/>
  <c r="X30" i="2" s="1"/>
  <c r="U31" i="2"/>
  <c r="X31" i="2" s="1"/>
  <c r="U32" i="2"/>
  <c r="X32" i="2" s="1"/>
  <c r="U33" i="2"/>
  <c r="X33" i="2" s="1"/>
  <c r="U34" i="2"/>
  <c r="X34" i="2" s="1"/>
  <c r="U37" i="2"/>
  <c r="X37" i="2" s="1"/>
  <c r="U38" i="2"/>
  <c r="X38" i="2" s="1"/>
  <c r="U40" i="2"/>
  <c r="X40" i="2" s="1"/>
  <c r="D36" i="2"/>
  <c r="E36" i="2"/>
  <c r="L36" i="2"/>
  <c r="M36" i="2"/>
  <c r="N36" i="2"/>
  <c r="O36" i="2"/>
  <c r="C36" i="2"/>
  <c r="D25" i="2"/>
  <c r="E25" i="2"/>
  <c r="L25" i="2"/>
  <c r="M25" i="2"/>
  <c r="N25" i="2"/>
  <c r="O25" i="2"/>
  <c r="C25" i="2"/>
  <c r="D19" i="2"/>
  <c r="D14" i="2" s="1"/>
  <c r="E19" i="2"/>
  <c r="L19" i="2"/>
  <c r="L14" i="2" s="1"/>
  <c r="M19" i="2"/>
  <c r="N19" i="2"/>
  <c r="N14" i="2" s="1"/>
  <c r="O19" i="2"/>
  <c r="C19" i="2"/>
  <c r="O10" i="2"/>
  <c r="N10" i="2"/>
  <c r="M10" i="2"/>
  <c r="L10" i="2"/>
  <c r="E10" i="2"/>
  <c r="D10" i="2"/>
  <c r="C10" i="2"/>
  <c r="Q10" i="2" l="1"/>
  <c r="Q36" i="2"/>
  <c r="X16" i="2"/>
  <c r="X15" i="2" s="1"/>
  <c r="U15" i="2"/>
  <c r="Q25" i="2"/>
  <c r="Q19" i="2"/>
  <c r="Q15" i="2"/>
  <c r="X10" i="2"/>
  <c r="X19" i="2"/>
  <c r="X25" i="2"/>
  <c r="U36" i="2"/>
  <c r="X36" i="2"/>
  <c r="L42" i="2"/>
  <c r="N42" i="2"/>
  <c r="D42" i="2"/>
  <c r="K38" i="8" s="1"/>
  <c r="U10" i="2"/>
  <c r="U25" i="2"/>
  <c r="U19" i="2"/>
  <c r="E14" i="2"/>
  <c r="E42" i="2" s="1"/>
  <c r="O14" i="2"/>
  <c r="O42" i="2" s="1"/>
  <c r="M14" i="2"/>
  <c r="M42" i="2" s="1"/>
  <c r="C14" i="2"/>
  <c r="Q14" i="2" l="1"/>
  <c r="X14" i="2"/>
  <c r="X42" i="2" s="1"/>
  <c r="U14" i="2"/>
  <c r="U42" i="2" s="1"/>
  <c r="C42" i="2"/>
  <c r="G38" i="8" s="1"/>
  <c r="L39" i="8" l="1"/>
  <c r="M36" i="8" s="1"/>
  <c r="L39" i="9"/>
  <c r="M36" i="9" s="1"/>
  <c r="Q42" i="2"/>
  <c r="L39" i="5"/>
  <c r="M36" i="5" s="1"/>
</calcChain>
</file>

<file path=xl/sharedStrings.xml><?xml version="1.0" encoding="utf-8"?>
<sst xmlns="http://schemas.openxmlformats.org/spreadsheetml/2006/main" count="1295" uniqueCount="1164">
  <si>
    <t>Tender Data Form</t>
  </si>
  <si>
    <t>Basic Info</t>
  </si>
  <si>
    <t>Tender No.</t>
  </si>
  <si>
    <t>No</t>
  </si>
  <si>
    <t>Remarks</t>
  </si>
  <si>
    <t>Overhead [%]</t>
  </si>
  <si>
    <t>Profit [%]</t>
  </si>
  <si>
    <t>Title</t>
  </si>
  <si>
    <t>Tender Currency</t>
  </si>
  <si>
    <t>Currency Rate</t>
  </si>
  <si>
    <t>Fuel</t>
  </si>
  <si>
    <t>Item</t>
  </si>
  <si>
    <t>Labour</t>
  </si>
  <si>
    <t>Staff</t>
  </si>
  <si>
    <t>Internal</t>
  </si>
  <si>
    <t>Other</t>
  </si>
  <si>
    <t>A.1</t>
  </si>
  <si>
    <t>Mobilization</t>
  </si>
  <si>
    <t>Demobilization</t>
  </si>
  <si>
    <t>B.1</t>
  </si>
  <si>
    <t>B.1.1</t>
  </si>
  <si>
    <t>Reclamation</t>
  </si>
  <si>
    <t>B.1.3</t>
  </si>
  <si>
    <t>B.1.4</t>
  </si>
  <si>
    <t>Quay Wall</t>
  </si>
  <si>
    <t>Revision No.</t>
  </si>
  <si>
    <t>(Ex 1)</t>
  </si>
  <si>
    <t xml:space="preserve">Subcontract </t>
  </si>
  <si>
    <t>Main Contract</t>
  </si>
  <si>
    <t>Sub / Main Contract</t>
  </si>
  <si>
    <t>Contract Form</t>
  </si>
  <si>
    <t>1. FIDIC</t>
  </si>
  <si>
    <t>2. Engineering and Construction Contract (ECC)</t>
  </si>
  <si>
    <t>3. Institution of Civil Engineers (ICE)</t>
  </si>
  <si>
    <t>4. Bespoke forms supplied by Clients</t>
  </si>
  <si>
    <t>5. Bahraini Government conditions of contract</t>
  </si>
  <si>
    <t>Blue Book</t>
  </si>
  <si>
    <t>Red Book</t>
  </si>
  <si>
    <t>Yellow Book</t>
  </si>
  <si>
    <t>Silver Book</t>
  </si>
  <si>
    <t>Beige Book</t>
  </si>
  <si>
    <t>White Book</t>
  </si>
  <si>
    <t>Orange Book</t>
  </si>
  <si>
    <t>Gold Book</t>
  </si>
  <si>
    <t>Conditions of Contracts for works of Civil Engineering Construction</t>
  </si>
  <si>
    <t>Conditions of Subcontract for Construction 2010</t>
  </si>
  <si>
    <t>Option A</t>
  </si>
  <si>
    <t>Option B</t>
  </si>
  <si>
    <t>Option C</t>
  </si>
  <si>
    <t>Option D</t>
  </si>
  <si>
    <t>Option E</t>
  </si>
  <si>
    <t>Option F</t>
  </si>
  <si>
    <t>ICE Conditions of Contract Measurement Version</t>
  </si>
  <si>
    <t>ICE Conditions of Contract Design and Construct</t>
  </si>
  <si>
    <t>ICE Conditions of Contracts Minor Works</t>
  </si>
  <si>
    <t>ICE Conditions of Contract Term Version</t>
  </si>
  <si>
    <t xml:space="preserve">ICE Conditions of Contract Ground Investigation </t>
  </si>
  <si>
    <t>Agreement for Consultancy Work in respect of Domestic or Small Works</t>
  </si>
  <si>
    <t>ADNOC Conditions of Contract</t>
  </si>
  <si>
    <t>ARAMCO  Conditions of Contract</t>
  </si>
  <si>
    <t>GAZCO  Conditions of Contract</t>
  </si>
  <si>
    <t>TDIC  Conditions of Contract</t>
  </si>
  <si>
    <t>ABU DHABI PORTS Conditions of Contract</t>
  </si>
  <si>
    <t>NPCC Conditions of Contract</t>
  </si>
  <si>
    <t>PETROFAC Conditions of Contract</t>
  </si>
  <si>
    <t>SAIPEM Conditions of Contract</t>
  </si>
  <si>
    <t>TECTON Conditions of Contract</t>
  </si>
  <si>
    <t>ADMA-OPCO Conditions of Contract</t>
  </si>
  <si>
    <t>TECNIMONT  Conditions of Contract</t>
  </si>
  <si>
    <t>MUSANADA  Conditions of Contract</t>
  </si>
  <si>
    <t>ABU DHABI STANDARD FORM DESIGN &amp; BUILD  Conditions of Contract</t>
  </si>
  <si>
    <t>Building And Engineering Works</t>
  </si>
  <si>
    <t>Engineering Consultancy Services</t>
  </si>
  <si>
    <t>Quantity Surveying Consultancy Services</t>
  </si>
  <si>
    <t xml:space="preserve">Minor Works, Supply of Materials, Supply of Equipment's, Supply of Human Resources and Maintenance &amp; Repair </t>
  </si>
  <si>
    <t>Payment method</t>
  </si>
  <si>
    <t>Lump Sum</t>
  </si>
  <si>
    <t>Remeasurable</t>
  </si>
  <si>
    <t>YesNo</t>
  </si>
  <si>
    <t>Tender Status</t>
  </si>
  <si>
    <t>Pre-Tender</t>
  </si>
  <si>
    <t>Declined</t>
  </si>
  <si>
    <t>Submitted</t>
  </si>
  <si>
    <t>Submitted and in Negotiation</t>
  </si>
  <si>
    <t>Closed for Post-Tender</t>
  </si>
  <si>
    <t>Post-Tender</t>
  </si>
  <si>
    <t>Closed</t>
  </si>
  <si>
    <t>Awarded</t>
  </si>
  <si>
    <t>Lost</t>
  </si>
  <si>
    <t>On Hold</t>
  </si>
  <si>
    <t>Cancelled</t>
  </si>
  <si>
    <t>Unknown</t>
  </si>
  <si>
    <t>Reasons to regret</t>
  </si>
  <si>
    <t>No Time</t>
  </si>
  <si>
    <t>No Equipment Available</t>
  </si>
  <si>
    <t>No Suitable Equipment</t>
  </si>
  <si>
    <t>SOW is Not Relevant</t>
  </si>
  <si>
    <t>Not the Right Region</t>
  </si>
  <si>
    <t>Too Small</t>
  </si>
  <si>
    <t>Too Large</t>
  </si>
  <si>
    <t>Equipment</t>
  </si>
  <si>
    <t>External</t>
  </si>
  <si>
    <t>Materials</t>
  </si>
  <si>
    <t>Personnel</t>
  </si>
  <si>
    <t>Misc</t>
  </si>
  <si>
    <t>Mob/Demob</t>
  </si>
  <si>
    <t>Preliminaries</t>
  </si>
  <si>
    <t>A</t>
  </si>
  <si>
    <t>A.2</t>
  </si>
  <si>
    <t>B</t>
  </si>
  <si>
    <t>B.2</t>
  </si>
  <si>
    <t>Fixed Prelimanary costs</t>
  </si>
  <si>
    <t>Time Related Preliminary Costs</t>
  </si>
  <si>
    <t>Other Fixed Prelims</t>
  </si>
  <si>
    <t>Supervision</t>
  </si>
  <si>
    <t>Site Running</t>
  </si>
  <si>
    <t>Bond &amp; Insurance</t>
  </si>
  <si>
    <t>Other Time Related Prelims</t>
  </si>
  <si>
    <t>B2.1</t>
  </si>
  <si>
    <t>B2.2</t>
  </si>
  <si>
    <t>B2.3</t>
  </si>
  <si>
    <t>B2.4</t>
  </si>
  <si>
    <t>C</t>
  </si>
  <si>
    <t>Works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</si>
  <si>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</si>
  <si>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</si>
  <si>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</si>
  <si>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</si>
  <si>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</si>
  <si>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</si>
  <si>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</si>
  <si>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</si>
  <si>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</si>
  <si>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Dredging</t>
  </si>
  <si>
    <t>Rock Works</t>
  </si>
  <si>
    <t>Trenching</t>
  </si>
  <si>
    <t>Marine Civil</t>
  </si>
  <si>
    <t>Soil Improvement</t>
  </si>
  <si>
    <t>Other Works</t>
  </si>
  <si>
    <t>D</t>
  </si>
  <si>
    <t>Provisional Sums</t>
  </si>
  <si>
    <t>Dayrates</t>
  </si>
  <si>
    <t>D.1</t>
  </si>
  <si>
    <t>D.2</t>
  </si>
  <si>
    <t>E</t>
  </si>
  <si>
    <t>Discount</t>
  </si>
  <si>
    <t>Total</t>
  </si>
  <si>
    <t>Total Cost</t>
  </si>
  <si>
    <t>Risk  [%]</t>
  </si>
  <si>
    <t>Total (excl. Tax)</t>
  </si>
  <si>
    <t>Mark-ups</t>
  </si>
  <si>
    <t>Tax</t>
  </si>
  <si>
    <t>Total (incl. Tax)</t>
  </si>
  <si>
    <t>Yes</t>
  </si>
  <si>
    <t>Estimators</t>
  </si>
  <si>
    <t>Satyajit Maheshgauti</t>
  </si>
  <si>
    <t>Vaibhav Mahta</t>
  </si>
  <si>
    <t>Sachin Sarjerao Patil</t>
  </si>
  <si>
    <t>ProposalManagers</t>
  </si>
  <si>
    <t>Christopher Mendoza</t>
  </si>
  <si>
    <t>Senthil Kumar Arjunan</t>
  </si>
  <si>
    <t>Afghanistan</t>
  </si>
  <si>
    <t>Akrotiri and Dhekelia (UK)</t>
  </si>
  <si>
    <t>Aland Islands (Finland)</t>
  </si>
  <si>
    <t>Albania</t>
  </si>
  <si>
    <t>Algeria</t>
  </si>
  <si>
    <t>American Samoa (USA)</t>
  </si>
  <si>
    <t>Andorra</t>
  </si>
  <si>
    <t>Angola</t>
  </si>
  <si>
    <t>Anguilla (UK)</t>
  </si>
  <si>
    <t>Antigua and Barbuda</t>
  </si>
  <si>
    <t>Argentina</t>
  </si>
  <si>
    <t>Armenia</t>
  </si>
  <si>
    <t>Aruba (Netherlands)</t>
  </si>
  <si>
    <t>Ascension Island (UK)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</si>
  <si>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</si>
  <si>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</si>
  <si>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</si>
  <si>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</si>
  <si>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</si>
  <si>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</si>
  <si>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</si>
  <si>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</si>
  <si>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</si>
  <si>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</si>
  <si>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</si>
  <si>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</si>
  <si>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</si>
  <si>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</si>
  <si>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 (Netherlands)</t>
  </si>
  <si>
    <t>Bosnia and Herzegovina</t>
  </si>
  <si>
    <t>Botswana</t>
  </si>
  <si>
    <t>Brazil</t>
  </si>
  <si>
    <t>British Indian Ocean Territory (UK)</t>
  </si>
  <si>
    <t>British Virgin Islands (UK)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</si>
  <si>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</si>
  <si>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</si>
  <si>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</si>
  <si>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</si>
  <si>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</si>
  <si>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</si>
  <si>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</si>
  <si>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</si>
  <si>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Netherlands (Netherlands)</t>
  </si>
  <si>
    <t>Cayman Islands (UK)</t>
  </si>
  <si>
    <t>Central African Republic</t>
  </si>
  <si>
    <t>Chad</t>
  </si>
  <si>
    <t>Chatham Islands (New Zealand)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</si>
  <si>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</si>
  <si>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</si>
  <si>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</si>
  <si>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</si>
  <si>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</si>
  <si>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</si>
  <si>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Congo, Democratic Republic of the</t>
  </si>
  <si>
    <t>Congo, Republic of the</t>
  </si>
  <si>
    <t>Cook Islands (New Zealand)</t>
  </si>
  <si>
    <t>Costa Rica</t>
  </si>
  <si>
    <t>Cote d'Ivoire</t>
  </si>
  <si>
    <t>Croatia</t>
  </si>
  <si>
    <t>Cuba</t>
  </si>
  <si>
    <t>Curacao (Netherlands)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</si>
  <si>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</si>
  <si>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</si>
  <si>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</si>
  <si>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</si>
  <si>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</si>
  <si>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</si>
  <si>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</si>
  <si>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</si>
  <si>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</si>
  <si>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</si>
  <si>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</si>
  <si>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</si>
  <si>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</si>
  <si>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(UK)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</si>
  <si>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</si>
  <si>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</si>
  <si>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</si>
  <si>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</si>
  <si>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</si>
  <si>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</si>
  <si>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</si>
  <si>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</si>
  <si>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</si>
  <si>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</si>
  <si>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</si>
  <si>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</si>
  <si>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</si>
  <si>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</si>
  <si>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</si>
  <si>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</si>
  <si>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</si>
  <si>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</si>
  <si>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</si>
  <si>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</si>
  <si>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</si>
  <si>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</si>
  <si>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</si>
  <si>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Honduras</t>
  </si>
  <si>
    <t>Hong Kong (China)</t>
  </si>
  <si>
    <t>Hungary</t>
  </si>
  <si>
    <t>Iceland</t>
  </si>
  <si>
    <t>India</t>
  </si>
  <si>
    <t>Indonesia</t>
  </si>
  <si>
    <t>International Monetary Fund (IMF)</t>
  </si>
  <si>
    <t>Iran</t>
  </si>
  <si>
    <t>Iraq</t>
  </si>
  <si>
    <t>Ireland</t>
  </si>
  <si>
    <t>Isle of Man (UK)</t>
  </si>
  <si>
    <t>Israel</t>
  </si>
  <si>
    <t>Italy</t>
  </si>
  <si>
    <t>Jamaica</t>
  </si>
  <si>
    <t>Japan</t>
  </si>
  <si>
    <t>Jersey (UK)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</si>
  <si>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</si>
  <si>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</si>
  <si>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</si>
  <si>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</si>
  <si>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</si>
  <si>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</si>
  <si>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</si>
  <si>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</si>
  <si>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</si>
  <si>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</si>
  <si>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</si>
  <si>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</si>
  <si>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</si>
  <si>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</si>
  <si>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</si>
  <si>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</si>
  <si>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</si>
  <si>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</si>
  <si>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</si>
  <si>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</si>
  <si>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</si>
  <si>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</si>
  <si>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</si>
  <si>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</si>
  <si>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</si>
  <si>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</si>
  <si>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</si>
  <si>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</si>
  <si>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</si>
  <si>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</si>
  <si>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</si>
  <si>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</si>
  <si>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</si>
  <si>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</si>
  <si>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</si>
  <si>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(UK)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</si>
  <si>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</si>
  <si>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</si>
  <si>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</si>
  <si>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</si>
  <si>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</si>
  <si>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</si>
  <si>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</si>
  <si>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</si>
  <si>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</si>
  <si>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</si>
  <si>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</si>
  <si>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</si>
  <si>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(New Zealand)</t>
  </si>
  <si>
    <t>Norfolk Island (Australia)</t>
  </si>
  <si>
    <t>Northern Mariana Islands (USA)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</si>
  <si>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</si>
  <si>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</si>
  <si>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</si>
  <si>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</si>
  <si>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</si>
  <si>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</si>
  <si>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</si>
  <si>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</si>
  <si>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</si>
  <si>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</si>
  <si>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</si>
  <si>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</si>
  <si>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</si>
  <si>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</si>
  <si>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 (USA)</t>
  </si>
  <si>
    <t>Qatar</t>
  </si>
  <si>
    <t>Reunion (France)</t>
  </si>
  <si>
    <t>Romania</t>
  </si>
  <si>
    <t>Russia</t>
  </si>
  <si>
    <t>Rwanda</t>
  </si>
  <si>
    <t>Saba (Netherlands)</t>
  </si>
  <si>
    <t>Saint Barthelemy (France)</t>
  </si>
  <si>
    <t>Saint Helena (UK)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</si>
  <si>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</si>
  <si>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</si>
  <si>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</si>
  <si>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</si>
  <si>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</si>
  <si>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</si>
  <si>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</si>
  <si>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</si>
  <si>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</si>
  <si>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</si>
  <si>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</si>
  <si>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</si>
  <si>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</si>
  <si>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</si>
  <si>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</si>
  <si>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</si>
  <si>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</si>
  <si>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</si>
  <si>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</si>
  <si>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</si>
  <si>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</si>
  <si>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Georgia Island (UK)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</si>
  <si>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</si>
  <si>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</si>
  <si>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</si>
  <si>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</si>
  <si>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</si>
  <si>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</si>
  <si>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</si>
  <si>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</si>
  <si>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</si>
  <si>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</si>
  <si>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</si>
  <si>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</si>
  <si>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</si>
  <si>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</si>
  <si>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</si>
  <si>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</si>
  <si>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</si>
  <si>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(New Zealand)</t>
  </si>
  <si>
    <t>Tonga</t>
  </si>
  <si>
    <t>Trinidad and Tobago</t>
  </si>
  <si>
    <t>Tristan da Cunha (UK)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</si>
  <si>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</si>
  <si>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</si>
  <si>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</si>
  <si>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</si>
  <si>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</si>
  <si>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</si>
  <si>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</si>
  <si>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</si>
  <si>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</si>
  <si>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</si>
  <si>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</si>
  <si>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US Virgin Islands (USA)</t>
  </si>
  <si>
    <t>Uzbekistan</t>
  </si>
  <si>
    <t>Vanuatu</t>
  </si>
  <si>
    <t>Vatican City (Holy See)</t>
  </si>
  <si>
    <t>Venezuela</t>
  </si>
  <si>
    <t>Vietnam</t>
  </si>
  <si>
    <t>Wake Island (USA)</t>
  </si>
  <si>
    <t>Wallis and Futuna (France)</t>
  </si>
  <si>
    <t>Yemen</t>
  </si>
  <si>
    <t>Zambia</t>
  </si>
  <si>
    <t>Zimbabwe</t>
  </si>
  <si>
    <t>Countries</t>
  </si>
  <si>
    <t>Pipeline</t>
  </si>
  <si>
    <t>Teeth</t>
  </si>
  <si>
    <t>Rock</t>
  </si>
  <si>
    <t>Concrete</t>
  </si>
  <si>
    <t>Steel</t>
  </si>
  <si>
    <t>Total Materials</t>
  </si>
  <si>
    <t>Other Equipment Cost</t>
  </si>
  <si>
    <t>Equipment Cost</t>
  </si>
  <si>
    <t>[AED]</t>
  </si>
  <si>
    <t xml:space="preserve">Marine </t>
  </si>
  <si>
    <t>Other Marine Equipment</t>
  </si>
  <si>
    <t>Dry earth</t>
  </si>
  <si>
    <t>Excavator</t>
  </si>
  <si>
    <t>Crawler Crane</t>
  </si>
  <si>
    <t>Bulldozer</t>
  </si>
  <si>
    <t>Wheelloader</t>
  </si>
  <si>
    <t>Dumper Truck</t>
  </si>
  <si>
    <t>Other Dry earth Equipment</t>
  </si>
  <si>
    <t>D+I</t>
  </si>
  <si>
    <t>Fixed M&amp;R</t>
  </si>
  <si>
    <t>Variable M&amp;R</t>
  </si>
  <si>
    <t>Insurance</t>
  </si>
  <si>
    <t>Cost in [AED]</t>
  </si>
  <si>
    <t>Number of Equipment</t>
  </si>
  <si>
    <t>Subcontractor</t>
  </si>
  <si>
    <t>Backfilling/Earthworks</t>
  </si>
  <si>
    <t>Site Establishment</t>
  </si>
  <si>
    <t>Design &amp; Engineering</t>
  </si>
  <si>
    <t>Detailed Equipment Cost</t>
  </si>
  <si>
    <t>Crosscheck:</t>
  </si>
  <si>
    <t>Iema11</t>
  </si>
  <si>
    <t>Rommel Adarlo</t>
  </si>
  <si>
    <t>Yannick Willems</t>
  </si>
  <si>
    <t>Pieter Steverlynck</t>
  </si>
  <si>
    <t>Guus Derksen</t>
  </si>
  <si>
    <t>Tug</t>
  </si>
  <si>
    <t>Multicat</t>
  </si>
  <si>
    <t>Survey</t>
  </si>
  <si>
    <t>Category</t>
  </si>
  <si>
    <t xml:space="preserve">Direct  </t>
  </si>
  <si>
    <t>Indirect</t>
  </si>
  <si>
    <t>Sum internal</t>
  </si>
  <si>
    <t>MobDemob Marine Equipment</t>
  </si>
  <si>
    <t>MobDemob Dry earth Equipment</t>
  </si>
  <si>
    <t>Fuel Tanker</t>
  </si>
  <si>
    <t>Water Tanker</t>
  </si>
  <si>
    <t>Compact Roller</t>
  </si>
  <si>
    <t>Trailer</t>
  </si>
  <si>
    <t>Car/bus/pickup</t>
  </si>
  <si>
    <t>Quantities</t>
  </si>
  <si>
    <t>Unit</t>
  </si>
  <si>
    <t>Internal Equipment Split up</t>
  </si>
  <si>
    <t>Var M&amp;R</t>
  </si>
  <si>
    <t>TechOh</t>
  </si>
  <si>
    <t>Internal Equipment</t>
  </si>
  <si>
    <t xml:space="preserve">Misc </t>
  </si>
  <si>
    <t>Name</t>
  </si>
  <si>
    <t>Al Khatab 1</t>
  </si>
  <si>
    <t>Belyryar</t>
  </si>
  <si>
    <t>M13, M16, M17</t>
  </si>
  <si>
    <t>M8, M9, M10</t>
  </si>
  <si>
    <t>M11, M12</t>
  </si>
  <si>
    <t>M4, M5</t>
  </si>
  <si>
    <t>M6</t>
  </si>
  <si>
    <t>Al Kadeh, 
Bu Sharah,
 Damen yard</t>
  </si>
  <si>
    <t>T6</t>
  </si>
  <si>
    <t>T3</t>
  </si>
  <si>
    <t>T4, T5</t>
  </si>
  <si>
    <t>T7, T8</t>
  </si>
  <si>
    <t>T1</t>
  </si>
  <si>
    <t>P11, P12</t>
  </si>
  <si>
    <t>P13</t>
  </si>
  <si>
    <t>P8
P9
P10</t>
  </si>
  <si>
    <t>P2
P5
P7</t>
  </si>
  <si>
    <t>TowingTug</t>
  </si>
  <si>
    <t>Ramhan</t>
  </si>
  <si>
    <t>Al Adham,
Opale,
Pearly</t>
  </si>
  <si>
    <t>Jamouh</t>
  </si>
  <si>
    <t>Abu al sayaaf</t>
  </si>
  <si>
    <t>Camar</t>
  </si>
  <si>
    <t>CrewBoat</t>
  </si>
  <si>
    <t>Grandweld</t>
  </si>
  <si>
    <t>Sea  Falcon II</t>
  </si>
  <si>
    <t>Lulu10
Lulu11
Lulu12</t>
  </si>
  <si>
    <t>Ardeem</t>
  </si>
  <si>
    <t>S4</t>
  </si>
  <si>
    <t>S6</t>
  </si>
  <si>
    <t>S5</t>
  </si>
  <si>
    <t>S1</t>
  </si>
  <si>
    <t>S2</t>
  </si>
  <si>
    <t xml:space="preserve">Safeena </t>
  </si>
  <si>
    <t>Stan Lift 65 A2</t>
  </si>
  <si>
    <t>Remah
Fuel Barge</t>
  </si>
  <si>
    <t>Anood</t>
  </si>
  <si>
    <t>Areela</t>
  </si>
  <si>
    <t>Delma 9
Delma 10</t>
  </si>
  <si>
    <t>Delma 7
Delma 12</t>
  </si>
  <si>
    <t>Isamu, 
Adora, 
Bellona</t>
  </si>
  <si>
    <t>Estalla, 
Fidelia</t>
  </si>
  <si>
    <t>Elata,
Delfina</t>
  </si>
  <si>
    <t>Delma 11</t>
  </si>
  <si>
    <t>Delma 3</t>
  </si>
  <si>
    <t>S1 barge</t>
  </si>
  <si>
    <t>Tech OH</t>
  </si>
  <si>
    <t>Al Sadr</t>
  </si>
  <si>
    <t>Al Mirfa</t>
  </si>
  <si>
    <t>Kattouf</t>
  </si>
  <si>
    <t>Umm El Zemoul</t>
  </si>
  <si>
    <t>Al Khatem</t>
  </si>
  <si>
    <t>Al Hamra</t>
  </si>
  <si>
    <t>Umm Al Anber</t>
  </si>
  <si>
    <t>Dredge II</t>
  </si>
  <si>
    <t>Al Shahama</t>
  </si>
  <si>
    <t>Jananah</t>
  </si>
  <si>
    <t>Embarka</t>
  </si>
  <si>
    <t>Dredgers without var M&amp;R (Not operational)</t>
  </si>
  <si>
    <t>Booster 1</t>
  </si>
  <si>
    <t>Booster 2</t>
  </si>
  <si>
    <t>Booster 3</t>
  </si>
  <si>
    <t>Boosters without var M&amp;R</t>
  </si>
  <si>
    <t>TenderNumber</t>
  </si>
  <si>
    <t>TenderRevision</t>
  </si>
  <si>
    <t>Mob_Equipment_Internal</t>
  </si>
  <si>
    <t>Mob_Equipment_External</t>
  </si>
  <si>
    <t>Mob_Fuel</t>
  </si>
  <si>
    <t>Mob_Staff</t>
  </si>
  <si>
    <t>Mob_Labourer</t>
  </si>
  <si>
    <t>Mob_Misc</t>
  </si>
  <si>
    <t>Mob_Subcontractor</t>
  </si>
  <si>
    <t>Mob_Risk%</t>
  </si>
  <si>
    <t>Mob_Overhead%</t>
  </si>
  <si>
    <t>Mob_Profit%</t>
  </si>
  <si>
    <t>Mob_DirectTax</t>
  </si>
  <si>
    <t>Mob_IndirectTax</t>
  </si>
  <si>
    <t>Demob_Equipment_Internal</t>
  </si>
  <si>
    <t>Demob_Equipment_External</t>
  </si>
  <si>
    <t>Demob_Fuel</t>
  </si>
  <si>
    <t>Demob_Staff</t>
  </si>
  <si>
    <t>Demob_Labourer</t>
  </si>
  <si>
    <t>Demob_Misc</t>
  </si>
  <si>
    <t>Demob_Subcontractor</t>
  </si>
  <si>
    <t>Demob_Risk%</t>
  </si>
  <si>
    <t>Demob_Overhead%</t>
  </si>
  <si>
    <t>Demob_Profit%</t>
  </si>
  <si>
    <t>Demob_DirectTax</t>
  </si>
  <si>
    <t>Demob_InDirectTax</t>
  </si>
  <si>
    <t>OfficeSetUp_Equipment_Internal</t>
  </si>
  <si>
    <t>OfficeSetUp_Equipment_External</t>
  </si>
  <si>
    <t>OfficeSetUp_Fuel</t>
  </si>
  <si>
    <t>OfficeSetUp_Staff</t>
  </si>
  <si>
    <t>OfficeSetUp_Labourer</t>
  </si>
  <si>
    <t>OfficeSetUp_Misc</t>
  </si>
  <si>
    <t>OfficeSetUp_SubContractor</t>
  </si>
  <si>
    <t>OfficeSetUp_Risk%</t>
  </si>
  <si>
    <t>OfficeSetUp_Overhead%</t>
  </si>
  <si>
    <t>OfficeSetUp_Profit%</t>
  </si>
  <si>
    <t>OfficeSetUp_DirectTax</t>
  </si>
  <si>
    <t>OfficeSetUp_InDirectTax</t>
  </si>
  <si>
    <t>Design_Equipment_Internal</t>
  </si>
  <si>
    <t>Design_Equipment_External</t>
  </si>
  <si>
    <t>Design_Fuel</t>
  </si>
  <si>
    <t>Design_Staff</t>
  </si>
  <si>
    <t>Design_Labourers</t>
  </si>
  <si>
    <t>Design_Misc</t>
  </si>
  <si>
    <t>Design_SubContractor</t>
  </si>
  <si>
    <t>Design_Risk%</t>
  </si>
  <si>
    <t>Design_Overhead%</t>
  </si>
  <si>
    <t>Design_Profit%</t>
  </si>
  <si>
    <t>Design_DirectTax</t>
  </si>
  <si>
    <t>Design_InDirectTax</t>
  </si>
  <si>
    <t>OtherFixedPrelims_Equipment_Internal</t>
  </si>
  <si>
    <t>OtherFixedPrelims_Equipment_External</t>
  </si>
  <si>
    <t>OtherFixedPrelims_Fuel</t>
  </si>
  <si>
    <t>OtherFixedPrelims_Staff</t>
  </si>
  <si>
    <t>OtherFixedPrelims_Labourer</t>
  </si>
  <si>
    <t>OtherFixedPrelims_Misc</t>
  </si>
  <si>
    <t>OtherFixedPrelims_SubContractor</t>
  </si>
  <si>
    <t>OtherFixedPrelims_Risk%</t>
  </si>
  <si>
    <t>OtherFixedPrelims_Overhead%</t>
  </si>
  <si>
    <t>OtherFixedPrelims_Profit%</t>
  </si>
  <si>
    <t>OtherFixedPrelims_DirectTax</t>
  </si>
  <si>
    <t>OtherFixedPrelims_InDirectTax</t>
  </si>
  <si>
    <t>Supervision_Equipment_Internal</t>
  </si>
  <si>
    <t>Supervision_Equipment_External</t>
  </si>
  <si>
    <t>Supervision_Fuel</t>
  </si>
  <si>
    <t>Supervision_Staff</t>
  </si>
  <si>
    <t>Supervision_Labourer</t>
  </si>
  <si>
    <t>Supervision_Misc</t>
  </si>
  <si>
    <t>Supervision_SubContractor</t>
  </si>
  <si>
    <t>Supervision_Risk%</t>
  </si>
  <si>
    <t>Supervision_Overhead%</t>
  </si>
  <si>
    <t>Supervision_Profit%</t>
  </si>
  <si>
    <t>Supervision_DirectTax</t>
  </si>
  <si>
    <t>Supervision_InDirectTax</t>
  </si>
  <si>
    <t>SiteRunning_Equipment_Internal</t>
  </si>
  <si>
    <t>SiteRunning_Equipment_External</t>
  </si>
  <si>
    <t>SiteRunning_Fuel</t>
  </si>
  <si>
    <t>SiteRunning_Staff</t>
  </si>
  <si>
    <t>SiteRunning_Labourer</t>
  </si>
  <si>
    <t>SiteRunning_Misc</t>
  </si>
  <si>
    <t>SiteRunning_SubContractor</t>
  </si>
  <si>
    <t>SiteRunning_Risk%</t>
  </si>
  <si>
    <t>SiteRunning_Overhead%</t>
  </si>
  <si>
    <t>SiteRunning_Profit%</t>
  </si>
  <si>
    <t>SiteRunning_DirectTax</t>
  </si>
  <si>
    <t>SiteRunning_InDirectTax</t>
  </si>
  <si>
    <t>BondInsurance_Equipment_Internal</t>
  </si>
  <si>
    <t>BondInsurance_Equipment_External</t>
  </si>
  <si>
    <t>BondInsurance_Fuel</t>
  </si>
  <si>
    <t>BondInsurance_Staff</t>
  </si>
  <si>
    <t>BondInsurance_Labourer</t>
  </si>
  <si>
    <t>BondInsurance_Misc</t>
  </si>
  <si>
    <t>BondInsurance_SubContractor</t>
  </si>
  <si>
    <t>BondInsurance_Risk%</t>
  </si>
  <si>
    <t>BondInsurance_Overhead%</t>
  </si>
  <si>
    <t>BondInsurance_Profit%</t>
  </si>
  <si>
    <t>BondInsurance_DirectTax</t>
  </si>
  <si>
    <t>BondInsurance_InDirectTax</t>
  </si>
  <si>
    <t>OtherTimePrelim_Equipment_Internal</t>
  </si>
  <si>
    <t>OtherTimePrelim_Equipment_External</t>
  </si>
  <si>
    <t>OtherTimePrelims_Fuel</t>
  </si>
  <si>
    <t>OtherTimePrelim_Staff</t>
  </si>
  <si>
    <t>OtherTimePrelim_Labourer</t>
  </si>
  <si>
    <t>OtherTimePrelim_Misc</t>
  </si>
  <si>
    <t>OtherTimePrelims_SubContractor</t>
  </si>
  <si>
    <t>OtherTimePrelim_Risk%</t>
  </si>
  <si>
    <t>OtherTimePrelim_Overhead%</t>
  </si>
  <si>
    <t>OtherTimePrelim_Profit%</t>
  </si>
  <si>
    <t>OtherTimePrelim_DirectTax</t>
  </si>
  <si>
    <t>OtherTimePrelim_InDirectTax</t>
  </si>
  <si>
    <t>Dredging_Equipment_Internal</t>
  </si>
  <si>
    <t>Dredging_Equipment_External</t>
  </si>
  <si>
    <t>Dredging_Fuel</t>
  </si>
  <si>
    <t>Dredging_Staff</t>
  </si>
  <si>
    <t>Dredging_Labourer</t>
  </si>
  <si>
    <t>Dredging_Misc</t>
  </si>
  <si>
    <t>Dredging_SubContractor</t>
  </si>
  <si>
    <t>Dredging_Risk%</t>
  </si>
  <si>
    <t>Dredging_Overhead%</t>
  </si>
  <si>
    <t>Dredging_Profit%</t>
  </si>
  <si>
    <t>Dredging_DirectTax</t>
  </si>
  <si>
    <t>Dredging_InDirectTax</t>
  </si>
  <si>
    <t>Reclamation_Equipment_Internal</t>
  </si>
  <si>
    <t>Reclamation_Equipment_External</t>
  </si>
  <si>
    <t>Reclamation_Fuel</t>
  </si>
  <si>
    <t>Reclamation_Staff</t>
  </si>
  <si>
    <t>Reclamation_Labourer</t>
  </si>
  <si>
    <t>Reclamation_Misc</t>
  </si>
  <si>
    <t>Reclamation_Subcontractor</t>
  </si>
  <si>
    <t>Reclamation_Risk%</t>
  </si>
  <si>
    <t>Reclamation_Overhead%</t>
  </si>
  <si>
    <t>Reclamation_Profit%</t>
  </si>
  <si>
    <t>Reclamation_DirectTax</t>
  </si>
  <si>
    <t>Reclamation_InDirectTax</t>
  </si>
  <si>
    <t>Backfilling_Equipment_Internal</t>
  </si>
  <si>
    <t>Backfilling_Equipment_External</t>
  </si>
  <si>
    <t>Backfilling_Fuel</t>
  </si>
  <si>
    <t>Backfilling_Staff</t>
  </si>
  <si>
    <t>Backfilling_Labourer</t>
  </si>
  <si>
    <t>Backfilling_Misc</t>
  </si>
  <si>
    <t>Backfilling_Subcontractor</t>
  </si>
  <si>
    <t>Backfilling_Risk%</t>
  </si>
  <si>
    <t>Backfilling_Overhead%</t>
  </si>
  <si>
    <t>Backfilling_Profit%</t>
  </si>
  <si>
    <t>Backfilling_DirectTax</t>
  </si>
  <si>
    <t>Backfilling_InDirectTax</t>
  </si>
  <si>
    <t>QuayWall_Equipment_Internal</t>
  </si>
  <si>
    <t>QuayWall_Equipment_External</t>
  </si>
  <si>
    <t>QuayWall_Fuel</t>
  </si>
  <si>
    <t>QuayWall_Staff</t>
  </si>
  <si>
    <t>QuayWall_Labourer</t>
  </si>
  <si>
    <t>QuayWall_Misc</t>
  </si>
  <si>
    <t>QuayWall_SubContractor</t>
  </si>
  <si>
    <t>QuayWall_Risk%</t>
  </si>
  <si>
    <t>QuayWall_Overhead%</t>
  </si>
  <si>
    <t>QuayWall_Profit%</t>
  </si>
  <si>
    <t>QuayWall_DirectTax</t>
  </si>
  <si>
    <t>QuayWall_InDirectTax</t>
  </si>
  <si>
    <t>RockWorks_Equipment_Internal</t>
  </si>
  <si>
    <t>RockWorks_Equipment_External</t>
  </si>
  <si>
    <t>RockWorks_Fuel</t>
  </si>
  <si>
    <t>RockWorks_Staff</t>
  </si>
  <si>
    <t>RockWorks_Labourer</t>
  </si>
  <si>
    <t>RockWorks_Misc</t>
  </si>
  <si>
    <t>RockWorks_SubContractor</t>
  </si>
  <si>
    <t>RockWorks_Risk%</t>
  </si>
  <si>
    <t>RockWorks_Overhead%</t>
  </si>
  <si>
    <t>RockWorks_Profit%</t>
  </si>
  <si>
    <t>RockWorks_DirectTax</t>
  </si>
  <si>
    <t>RockWorks_InDirectTax</t>
  </si>
  <si>
    <t>Trenching_Equipment_Internal</t>
  </si>
  <si>
    <t>Trenching_Equipment_External</t>
  </si>
  <si>
    <t>Trenching_Fuel</t>
  </si>
  <si>
    <t>Trenching_Staff</t>
  </si>
  <si>
    <t>Trenching_Labourer</t>
  </si>
  <si>
    <t>Trenching_Misc</t>
  </si>
  <si>
    <t>Trenching_SubContractor</t>
  </si>
  <si>
    <t>Trenching_Risk%</t>
  </si>
  <si>
    <t>Trenching_Overhead%</t>
  </si>
  <si>
    <t>Trenching_Profit%</t>
  </si>
  <si>
    <t>Trenching_DirectTax</t>
  </si>
  <si>
    <t>Trenching_InDirectTax</t>
  </si>
  <si>
    <t>MarineCivil_Equipment_Internal</t>
  </si>
  <si>
    <t>MarineCivil_Equipment_External</t>
  </si>
  <si>
    <t>MarineCivil_Fuel</t>
  </si>
  <si>
    <t>MarineCivil_Staff</t>
  </si>
  <si>
    <t>MarineCivil_Labourer</t>
  </si>
  <si>
    <t>MarineCivil_Misc</t>
  </si>
  <si>
    <t>MarineCivil_SubContractor</t>
  </si>
  <si>
    <t>MarineCivil_Risk%</t>
  </si>
  <si>
    <t>MarineCivil_Overhead%</t>
  </si>
  <si>
    <t>MarineCivil_Profit%</t>
  </si>
  <si>
    <t>MarineCivil_DirectTax</t>
  </si>
  <si>
    <t>MarineCivil_InDirectTax</t>
  </si>
  <si>
    <t>SoilImpr_Equipment_Internal</t>
  </si>
  <si>
    <t>SoilImpr_Equipment_External</t>
  </si>
  <si>
    <t>SoilImpr_Fuel</t>
  </si>
  <si>
    <t>SoilImpr_Staff</t>
  </si>
  <si>
    <t>SoilImpr_Labourer</t>
  </si>
  <si>
    <t>SoilImpr_Misc</t>
  </si>
  <si>
    <t>SoilImpr_SubContractor</t>
  </si>
  <si>
    <t>SoilImpr_Risk%</t>
  </si>
  <si>
    <t>SoilImpr_Overhead%</t>
  </si>
  <si>
    <t>SoilImpr_Profit%</t>
  </si>
  <si>
    <t>SoilImpr_DirectTax</t>
  </si>
  <si>
    <t>SoilImpr_InDirectTax</t>
  </si>
  <si>
    <t>OtherWorks_Equipment_Internal</t>
  </si>
  <si>
    <t>OtherWorks_Equipment_External</t>
  </si>
  <si>
    <t>OtherWorks_Fuel</t>
  </si>
  <si>
    <t>OtherWorks_Staff</t>
  </si>
  <si>
    <t>OtherWorks_Labourer</t>
  </si>
  <si>
    <t>OtherWorks_Misc</t>
  </si>
  <si>
    <t>OtherWorks_SubContractor</t>
  </si>
  <si>
    <t>OtherWorks_Risk%</t>
  </si>
  <si>
    <t>OtherWorks_Overhead%</t>
  </si>
  <si>
    <t>OtherWorks_Profit%</t>
  </si>
  <si>
    <t>OtherWorks_DirectTax</t>
  </si>
  <si>
    <t>OtherWorks_InDirectTax</t>
  </si>
  <si>
    <t>ProvSum_Equipment_Internal</t>
  </si>
  <si>
    <t>ProvSum_Equipment_External</t>
  </si>
  <si>
    <t>ProvSum_Fuel</t>
  </si>
  <si>
    <t>ProvSum_Staff</t>
  </si>
  <si>
    <t>ProvSum_Labourer</t>
  </si>
  <si>
    <t>ProvSum_Misc</t>
  </si>
  <si>
    <t>ProvSum_SubContractor</t>
  </si>
  <si>
    <t>ProvSum_Risk%</t>
  </si>
  <si>
    <t>ProvSum_OVerhead%</t>
  </si>
  <si>
    <t>ProvSum_Profit%</t>
  </si>
  <si>
    <t>ProvSum_DirectTax</t>
  </si>
  <si>
    <t>ProvSum_InDirectTax</t>
  </si>
  <si>
    <t>DayRates_Equipment_Internal</t>
  </si>
  <si>
    <t>DayRates_Equipment_External</t>
  </si>
  <si>
    <t>DayRates_Fuel</t>
  </si>
  <si>
    <t>DayRates_Staff</t>
  </si>
  <si>
    <t>DayRates_Labourer</t>
  </si>
  <si>
    <t>DayRates_Misc</t>
  </si>
  <si>
    <t>Dayrates_SubContractor</t>
  </si>
  <si>
    <t>DayRates_Risk%</t>
  </si>
  <si>
    <t>DayRates_Overhead%</t>
  </si>
  <si>
    <t>DayRates_Profit%</t>
  </si>
  <si>
    <t>DayRates_DirectTax</t>
  </si>
  <si>
    <t>DayRates_InDirectTax</t>
  </si>
  <si>
    <t>Discount_Equipment_Internal</t>
  </si>
  <si>
    <t>Discount_Equipment_External</t>
  </si>
  <si>
    <t>Discount_Fuel</t>
  </si>
  <si>
    <t>Discount_Staff</t>
  </si>
  <si>
    <t>Discount_Labourers</t>
  </si>
  <si>
    <t>Discount_Misc</t>
  </si>
  <si>
    <t>Discount_SubContractor</t>
  </si>
  <si>
    <t>Discount_Risk%</t>
  </si>
  <si>
    <t>Discount_Overhead%</t>
  </si>
  <si>
    <t>Discount_Profit%</t>
  </si>
  <si>
    <t>Discount_DirectTax</t>
  </si>
  <si>
    <t>Discount_InDirectTax</t>
  </si>
  <si>
    <t>Mob_Materials_Pipeline</t>
  </si>
  <si>
    <t>Mob_Materials_Teeth</t>
  </si>
  <si>
    <t>Mob_Materials_Steel</t>
  </si>
  <si>
    <t>Mob_Materials_Rock</t>
  </si>
  <si>
    <t>Mob_Materials_Concrete</t>
  </si>
  <si>
    <t>Mob_Materials_Other</t>
  </si>
  <si>
    <t>OfficeSetUp_Materials_Pipeline</t>
  </si>
  <si>
    <t>OfficeSetUp_Materials_Teeth</t>
  </si>
  <si>
    <t>OfficeSetUp_Materials_Steel</t>
  </si>
  <si>
    <t>OfficeSetUp_Materials_Rock</t>
  </si>
  <si>
    <t>OfficeSetUp_Materials_Concrete</t>
  </si>
  <si>
    <t>OfficeSetUp_Materials_Other</t>
  </si>
  <si>
    <t>Design_Materials_Pipeline</t>
  </si>
  <si>
    <t>Design_Materials_Teeth</t>
  </si>
  <si>
    <t>Design_Materials_Steel</t>
  </si>
  <si>
    <t>Design_Materials_Rock</t>
  </si>
  <si>
    <t>Design_Materials_Concrete</t>
  </si>
  <si>
    <t>Design_Materials_Other</t>
  </si>
  <si>
    <t>OtherFixedPrelims_Materials_Pipeline</t>
  </si>
  <si>
    <t>OtherFixedPrelims_Materials_Teeth</t>
  </si>
  <si>
    <t>OtherFixedPrelims_Materials_Steel</t>
  </si>
  <si>
    <t>OtherFixedPrelims_Materials_Rock</t>
  </si>
  <si>
    <t>OtherFixedPrelims_Materials_Concrete</t>
  </si>
  <si>
    <t>OtherFixedPrelims_Materials_Other</t>
  </si>
  <si>
    <t>Supervision_Materials_Pipeline</t>
  </si>
  <si>
    <t>Supervision_Materials_Teeth</t>
  </si>
  <si>
    <t>Supervision_Materials_Steel</t>
  </si>
  <si>
    <t>Supervision_Materials_Rock</t>
  </si>
  <si>
    <t>Supervision_Materials_Concrete</t>
  </si>
  <si>
    <t>Supervision_Materials_Other</t>
  </si>
  <si>
    <t>SiteRunning_Materials_Pipeline</t>
  </si>
  <si>
    <t>SiteRunning_Materials_Teeth</t>
  </si>
  <si>
    <t>SiteRunning_Materials_Steel</t>
  </si>
  <si>
    <t>SiteRunning_Materials_Rock</t>
  </si>
  <si>
    <t>SiteRunning_Materials_Concrete</t>
  </si>
  <si>
    <t>SiteRunning_Materials_Other</t>
  </si>
  <si>
    <t>BondInsurance_Materials_Pipeline</t>
  </si>
  <si>
    <t>BondInsurance_Materials_Teeth</t>
  </si>
  <si>
    <t>BondInsurance_Materials_Steel</t>
  </si>
  <si>
    <t>BondInsurance_Materials_Rock</t>
  </si>
  <si>
    <t>BondInsurance_Materials_Concrete</t>
  </si>
  <si>
    <t>BondInsurance_Materials_Other</t>
  </si>
  <si>
    <t>OtherTimePrelims_Materials_Pipeline</t>
  </si>
  <si>
    <t>OtherTimePrelims_Materials_Teeth</t>
  </si>
  <si>
    <t>OtherTimePrelims_Materials_Steel</t>
  </si>
  <si>
    <t>OtherTimePrelims_Materials_Rock</t>
  </si>
  <si>
    <t>OtherTimePrelims_Materials_Concrete</t>
  </si>
  <si>
    <t>OtherTimePrelims_Materials_Other</t>
  </si>
  <si>
    <t>Dredging_Materials_Pipeline</t>
  </si>
  <si>
    <t>Dredging_Materials_Teeth</t>
  </si>
  <si>
    <t>Dredging_Materials_Steel</t>
  </si>
  <si>
    <t>Dredging_Materials_Rock</t>
  </si>
  <si>
    <t>Dredging_Materials_Concrete</t>
  </si>
  <si>
    <t>Dredging_Materials_Other</t>
  </si>
  <si>
    <t>Reclamation_Materials_Pipeline</t>
  </si>
  <si>
    <t>Reclamation_Materials_Teeth</t>
  </si>
  <si>
    <t>Reclamation_Materials_Steel</t>
  </si>
  <si>
    <t>Reclamation_Materials_Rock</t>
  </si>
  <si>
    <t>Reclamation_Materials_Concrete</t>
  </si>
  <si>
    <t>Reclamation_Materials_Other</t>
  </si>
  <si>
    <t>Backfilling_Materials_Pipeline</t>
  </si>
  <si>
    <t>Backfilling_Materials_Teeth</t>
  </si>
  <si>
    <t>Backfilling_Materials_Steel</t>
  </si>
  <si>
    <t>Backfilling_Materials_Rock</t>
  </si>
  <si>
    <t>Backfilling_Materials_Concrete</t>
  </si>
  <si>
    <t>Backfilling_Materials_Other</t>
  </si>
  <si>
    <t>QuayWall_Materials_Pipeline</t>
  </si>
  <si>
    <t>QuayWall_Materials_Teeth</t>
  </si>
  <si>
    <t>QuayWall_Materials_Steel</t>
  </si>
  <si>
    <t>QuayWall_Materials_Rock</t>
  </si>
  <si>
    <t>QuayWall_Materials_Concrete</t>
  </si>
  <si>
    <t>QuayWall_Materials_Other</t>
  </si>
  <si>
    <t>RockWorks_Materials_Pipeline</t>
  </si>
  <si>
    <t>RockWorks_Materials_Teeth</t>
  </si>
  <si>
    <t>RockWorks_Materials_Steel</t>
  </si>
  <si>
    <t>RockWorks_Materials_Rock</t>
  </si>
  <si>
    <t>RockWorks_Materials_Concrete</t>
  </si>
  <si>
    <t>RockWorks_Materials_Other</t>
  </si>
  <si>
    <t>Trenching_Materials_Pipeline</t>
  </si>
  <si>
    <t>Trenching_Materials_Teeth</t>
  </si>
  <si>
    <t>Trenching_Materials_Steel</t>
  </si>
  <si>
    <t>Trenching_Materials_Rock</t>
  </si>
  <si>
    <t>Trenching_Materials_Concrete</t>
  </si>
  <si>
    <t>Trenching_Materials_Other</t>
  </si>
  <si>
    <t>MarineCivil_Materials_Pipeline</t>
  </si>
  <si>
    <t>MarineCivil_Materials_Teeth</t>
  </si>
  <si>
    <t>MarineCivil_Materials_Steel</t>
  </si>
  <si>
    <t>MarineCivil_Materials_Rock</t>
  </si>
  <si>
    <t>MarineCivil_Materials_Concrete</t>
  </si>
  <si>
    <t>MarineCivil_Materials_Other</t>
  </si>
  <si>
    <t>OtherWorks_Materials_Pipeline</t>
  </si>
  <si>
    <t>OtherWorks_Materials_Teeth</t>
  </si>
  <si>
    <t>OtherWorks_Materials_Steel</t>
  </si>
  <si>
    <t>OtherWorks_Materials_Rock</t>
  </si>
  <si>
    <t>OtherWorks_Materials_Concrete</t>
  </si>
  <si>
    <t>OtherWorks_Materials_Other</t>
  </si>
  <si>
    <t>ProvSum_Materials_Pipeline</t>
  </si>
  <si>
    <t>ProvSum_Materials_Teeth</t>
  </si>
  <si>
    <t>ProvSum_Materials_Steel</t>
  </si>
  <si>
    <t>ProvSum_Materials_Rock</t>
  </si>
  <si>
    <t>ProvSum_Materials_Concrete</t>
  </si>
  <si>
    <t>ProvSum_Materials_Other</t>
  </si>
  <si>
    <t>Discount_Materials_Pipeline</t>
  </si>
  <si>
    <t>Discount_Materials_Teeth</t>
  </si>
  <si>
    <t>Discount_Materials_Steel</t>
  </si>
  <si>
    <t>Discount_Materials_Rock</t>
  </si>
  <si>
    <t>Discount_Materials_Concrete</t>
  </si>
  <si>
    <t>Discount_Materials_Other</t>
  </si>
  <si>
    <t>Equipment_Internal_Booster_DI</t>
  </si>
  <si>
    <t>Equipment_Internal_Multicat_DI</t>
  </si>
  <si>
    <t>Equipment_Internal_Tug_DI</t>
  </si>
  <si>
    <t>Equipment_Internal_SpeedBoatSurvey_DI</t>
  </si>
  <si>
    <t>Equipment_Internal_WorkBarge_DI</t>
  </si>
  <si>
    <t>Equipment_Internal_TransportBarge_DI</t>
  </si>
  <si>
    <t>Equipment_Internal_OtherMarine_DI</t>
  </si>
  <si>
    <t>Equipment_Internal_Excavator_DI</t>
  </si>
  <si>
    <t>Equipment_Internal_CrawlerCrane_DI</t>
  </si>
  <si>
    <t>Equipment_Internal_Bulldozer_DI</t>
  </si>
  <si>
    <t>Equipment_Internal_Wheelloader_DI</t>
  </si>
  <si>
    <t>Equipment_Internal_DumperTruck_DI</t>
  </si>
  <si>
    <t>Equipment_Internal_OtherDryEarth_DI</t>
  </si>
  <si>
    <t>Equipment_Internal_OtherEquipment_DI</t>
  </si>
  <si>
    <t>Equipment_External_Booster</t>
  </si>
  <si>
    <t>Equipment_External_Multicat</t>
  </si>
  <si>
    <t>Equipment_External_Tug</t>
  </si>
  <si>
    <t>Equipment_External_SpeedBoatSurvey</t>
  </si>
  <si>
    <t>Equipment_External_WorkBarge</t>
  </si>
  <si>
    <t>Equipment_External_TransportBarge</t>
  </si>
  <si>
    <t>Equipment_External_OtherMarine</t>
  </si>
  <si>
    <t>Equipment_External_Excavator</t>
  </si>
  <si>
    <t>Equipment_External_CrawlerCrane</t>
  </si>
  <si>
    <t>Equipment_External_Bulldozer</t>
  </si>
  <si>
    <t>Equipment_External_Wheelloader</t>
  </si>
  <si>
    <t>Equipment_External_DumperTruck</t>
  </si>
  <si>
    <t>Equipment_External_OtherDryEarth</t>
  </si>
  <si>
    <t>Equipment_External_OtherEquipment</t>
  </si>
  <si>
    <t>Equipment_Internal_Booster_FixedMR</t>
  </si>
  <si>
    <t>Equipment_Internal_Multicat_FixedMR</t>
  </si>
  <si>
    <t>Equipment_Internal_Tug_FixedMR</t>
  </si>
  <si>
    <t>Equipment_Internal_SpeedBoatSurvey_FixedMR</t>
  </si>
  <si>
    <t>Equipment_Internal_WorkBarge_FixedMR</t>
  </si>
  <si>
    <t>Equipment_Internal_TransportBarge_FixedMR</t>
  </si>
  <si>
    <t>Equipment_Internal_OtherMarine_FixedMR</t>
  </si>
  <si>
    <t>Equipment_Internal_Excavator_FixedMR</t>
  </si>
  <si>
    <t>Equipment_Internal_CrawlerCrane_FixedMR</t>
  </si>
  <si>
    <t>Equipment_Internal_Bulldozer_FixedMR</t>
  </si>
  <si>
    <t>Equipment_Internal_Wheelloader_FixedMR</t>
  </si>
  <si>
    <t>Equipment_Internal_DumperTruck_FixedMR</t>
  </si>
  <si>
    <t>Equipment_Internal_OtherDryEarth_FixedMR</t>
  </si>
  <si>
    <t>Equipment_Internal_OtherEquipment_FixedMR</t>
  </si>
  <si>
    <t>Equipment_Internal_Booster_VariableMR</t>
  </si>
  <si>
    <t>Equipment_Internal_Multicat_VariableMR</t>
  </si>
  <si>
    <t>Equipment_Internal_Tug_VariableMR</t>
  </si>
  <si>
    <t>Equipment_Internal_SpeedBoatSurvey_VariableMR</t>
  </si>
  <si>
    <t>Equipment_Internal_WorkBarge_VariableMR</t>
  </si>
  <si>
    <t>Equipment_Internal_TransportBarge_VariableMR</t>
  </si>
  <si>
    <t>Equipment_Internal_OtherMarine_VariableMR</t>
  </si>
  <si>
    <t>Equipment_Internal_Excavator_VariableMR</t>
  </si>
  <si>
    <t>Equipment_Internal_CrawlerCrane_VariableMR</t>
  </si>
  <si>
    <t>Equipment_Internal_Bulldozer_VariableMR</t>
  </si>
  <si>
    <t>Equipment_Internal_Wheelloader_VariableMR</t>
  </si>
  <si>
    <t>Equipment_Internal_DumperTruck_VariableMR</t>
  </si>
  <si>
    <t>Equipment_Internal_OtherDryEarth_VariableMR</t>
  </si>
  <si>
    <t>Equipment_Internal_OtherEquipment_VariableMR</t>
  </si>
  <si>
    <t>Equipment_Internal_Booster_Insurance</t>
  </si>
  <si>
    <t>Equipment_Internal_Multicat_Insurance</t>
  </si>
  <si>
    <t>Equipment_Internal_Tug_Insurance</t>
  </si>
  <si>
    <t>Equipment_Internal_SpeedBoatSurvey_Insurance</t>
  </si>
  <si>
    <t>Equipment_Internal_WorkBarge_Insurance</t>
  </si>
  <si>
    <t>Equipment_Internal_TransportBarge_Insurance</t>
  </si>
  <si>
    <t>Equipment_Internal_OtherMarine_Insurance</t>
  </si>
  <si>
    <t>Equipment_Internal_Excavator_Insurance</t>
  </si>
  <si>
    <t>Equipment_Internal_CrawlerCrane_Insurance</t>
  </si>
  <si>
    <t>Equipment_Internal_Bulldozer_Insurance</t>
  </si>
  <si>
    <t>Equipment_Internal_Wheelloader_Insurance</t>
  </si>
  <si>
    <t>Equipment_Internal_DumperTruck_Insurance</t>
  </si>
  <si>
    <t>Equipment_Internal_OtherDryEarth_Insurance</t>
  </si>
  <si>
    <t>Equipment_Internal_OtherEquipment_Insurance</t>
  </si>
  <si>
    <t>Equipment_Total_Booster_Number</t>
  </si>
  <si>
    <t>Equipment_Total_Multicat_Number</t>
  </si>
  <si>
    <t>Equipment_Total_Tug_Number</t>
  </si>
  <si>
    <t>Equipment_Total_SpeedBoatSurvey_Number</t>
  </si>
  <si>
    <t>Equipment_Total_WorkBarge_Number</t>
  </si>
  <si>
    <t>Equipment_Total_TransportBarge_Number</t>
  </si>
  <si>
    <t>Equipment_Total_OtherMarine_Number</t>
  </si>
  <si>
    <t>Equipment_Total_Excavator_Number</t>
  </si>
  <si>
    <t>Equipment_Total_CrawlerCrane_Number</t>
  </si>
  <si>
    <t>Equipment_Total_Bulldozer_Number</t>
  </si>
  <si>
    <t>Equipment_Total_Wheelloader_Number</t>
  </si>
  <si>
    <t>Equipment_Total_DumperTruck_Number</t>
  </si>
  <si>
    <t>Equipment_Total_OtherDryEarth_Number</t>
  </si>
  <si>
    <t>Equipment_Total_OtherEquipment_Number</t>
  </si>
  <si>
    <t>Equipment_Internal_FuelTanker_DI</t>
  </si>
  <si>
    <t>Equipment_Internal_WaterTanker_DI</t>
  </si>
  <si>
    <t>Equipment_Internal_CompactRoller_DI</t>
  </si>
  <si>
    <t>Equipment_Internal_Trailer_DI</t>
  </si>
  <si>
    <t>Equipment_Internal_CarBusPickup_DI</t>
  </si>
  <si>
    <t>Equipment_Internal_MobDemobMarine_DI</t>
  </si>
  <si>
    <t>Equipment_Internal_MobDemobDryearth_DI</t>
  </si>
  <si>
    <t>Equipment_Internal_FuelTanker_FixedMR</t>
  </si>
  <si>
    <t>Equipment_Internal_WaterTanker_FixedMR</t>
  </si>
  <si>
    <t>Equipment_Internal_CompactRoller_FixedMR</t>
  </si>
  <si>
    <t>Equipment_Internal_Trailer_FixedMR</t>
  </si>
  <si>
    <t>Equipment_Internal_CarBusPickup_FixedMR</t>
  </si>
  <si>
    <t>Equipment_Internal_MobDemobMarine_FixedMR</t>
  </si>
  <si>
    <t>Equipment_Internal_MobDemobDryearth_FixedMR</t>
  </si>
  <si>
    <t>Equipment_Internal_FuelTanker_VariableMR</t>
  </si>
  <si>
    <t>Equipment_Internal_WaterTanker_VariableMR</t>
  </si>
  <si>
    <t>Equipment_Internal_CompactRoller_VariableMR</t>
  </si>
  <si>
    <t>Equipment_Internal_Trailer_VariableMR</t>
  </si>
  <si>
    <t>Equipment_Internal_CarBusPickup_VariableMR</t>
  </si>
  <si>
    <t>Equipment_Internal_MobDemobMarine_VariableMR</t>
  </si>
  <si>
    <t>Equipment_Internal_MobDemobDryearth_VariableMR</t>
  </si>
  <si>
    <t>Equipment_Internal_FuelTanker_Insurance</t>
  </si>
  <si>
    <t>Equipment_Internal_WaterTanker_Insurance</t>
  </si>
  <si>
    <t>Equipment_Internal_CompactRoller_Insurance</t>
  </si>
  <si>
    <t>Equipment_Internal_Trailer_Insurance</t>
  </si>
  <si>
    <t>Equipment_Internal_CarBusPickup_Insurance</t>
  </si>
  <si>
    <t>Equipment_Internal_MobDemobMarine_Insurance</t>
  </si>
  <si>
    <t>Equipment_Internal_MobDemobDryearth_Insurance</t>
  </si>
  <si>
    <t>Equipment_Total_FuelTanker_Number</t>
  </si>
  <si>
    <t>Equipment_Total_WaterTanker_Number</t>
  </si>
  <si>
    <t>Equipment_Total_CompactRoller_Number</t>
  </si>
  <si>
    <t>Equipment_Total_Trailer_Number</t>
  </si>
  <si>
    <t>Equipment_Total_CarBusPickup_Number</t>
  </si>
  <si>
    <t>Equipment_Total_MobDemobMarine_Number</t>
  </si>
  <si>
    <t>Equipment_External_FuelTanker</t>
  </si>
  <si>
    <t>Equipment_External_WaterTanker</t>
  </si>
  <si>
    <t>Equipment_External_CompactRoller</t>
  </si>
  <si>
    <t>Equipment_External_Trailer</t>
  </si>
  <si>
    <t>Equipment_External_CarBusPickup</t>
  </si>
  <si>
    <t>Equipment_External_MobDemobMarine</t>
  </si>
  <si>
    <t>Equipment_External_MobDemobDryearth</t>
  </si>
  <si>
    <t>Equipment_Internal_Booster_TechOH</t>
  </si>
  <si>
    <t>Equipment_Internal_Multicat_TechOH</t>
  </si>
  <si>
    <t>Equipment_Internal_Tug_TechOH</t>
  </si>
  <si>
    <t>Equipment_Internal_Survey_TechOH</t>
  </si>
  <si>
    <t>Equipment_Internal_WorkBarge_TechOH</t>
  </si>
  <si>
    <t>Equipment_Internal_TransportBarge_TechOH</t>
  </si>
  <si>
    <t>Equipment_Internal_OtherMarine_TechOH</t>
  </si>
  <si>
    <t>Equipment_Internal_Excavator_TechOH</t>
  </si>
  <si>
    <t>Equipment_Internal_CrawlerCrane_TechOH</t>
  </si>
  <si>
    <t>Equipment_Internal_Bulldozer_TechOH</t>
  </si>
  <si>
    <t>Equipment_Internal_Wheelloader_TechOH</t>
  </si>
  <si>
    <t>Equipment_Internal_DumperTruck_TechOH</t>
  </si>
  <si>
    <t>Equipment_Total_FuelTanker_TechOH</t>
  </si>
  <si>
    <t>Equipment_Total_WaterTanker_TechOH</t>
  </si>
  <si>
    <t>Equipment_Total_CompactRoller_TechOH</t>
  </si>
  <si>
    <t>Equipment_Total_Trailer_TechOH</t>
  </si>
  <si>
    <t>Equipment_Total_CarBusPickup_TechOH</t>
  </si>
  <si>
    <t>Equipment_Internal_OtherDryEarth_TechOH</t>
  </si>
  <si>
    <t>Equipment_Internal_MobDemobMarine_TechOH</t>
  </si>
  <si>
    <t>Equipment_Internal_MobDemobDryearth_TechOH</t>
  </si>
  <si>
    <t>Equipment_Internal_OtherEquipment_TechOH</t>
  </si>
  <si>
    <t>Equipment_Internal_Booster_Labour</t>
  </si>
  <si>
    <t>Equipment_Internal_Multicat_Labour</t>
  </si>
  <si>
    <t>Equipment_Internal_Tug_Labour</t>
  </si>
  <si>
    <t>Equipment_Internal_Survey_Labour</t>
  </si>
  <si>
    <t>Equipment_Internal_WorkBarge_Labour</t>
  </si>
  <si>
    <t>Equipment_Internal_TransportBarge_Labour</t>
  </si>
  <si>
    <t>Equipment_Internal_OtherMarine_Labour</t>
  </si>
  <si>
    <t>Equipment_Internal_Excavator_Labour</t>
  </si>
  <si>
    <t>Equipment_Internal_CrawlerCrane_Labour</t>
  </si>
  <si>
    <t>Equipment_Internal_Bulldozer_Labour</t>
  </si>
  <si>
    <t>Equipment_Internal_Wheelloader_Labour</t>
  </si>
  <si>
    <t>Equipment_Internal_DumperTruck_Labour</t>
  </si>
  <si>
    <t>Equipment_Total_FuelTanker_Labour</t>
  </si>
  <si>
    <t>Equipment_Total_WaterTanker_Labour</t>
  </si>
  <si>
    <t>Equipment_Total_CompactRoller_Labour</t>
  </si>
  <si>
    <t>Equipment_Total_Trailer_Labour</t>
  </si>
  <si>
    <t>Equipment_Total_CarBusPickup_Labour</t>
  </si>
  <si>
    <t>Equipment_Internal_OtherDryEarth_Labour</t>
  </si>
  <si>
    <t>Equipment_Internal_MobDemobMarine_Labour</t>
  </si>
  <si>
    <t>Equipment_Internal_MobDemobDryearth_Labour</t>
  </si>
  <si>
    <t>Equipment_Internal_OtherEquipment_Labour</t>
  </si>
  <si>
    <t>Equipment_Internal_Booster_Staff</t>
  </si>
  <si>
    <t>Equipment_Internal_Multicat_Staff</t>
  </si>
  <si>
    <t>Equipment_Internal_Tug_Staff</t>
  </si>
  <si>
    <t>Equipment_Internal_Survey_Staff</t>
  </si>
  <si>
    <t>Equipment_Internal_WorkBarge_Staff</t>
  </si>
  <si>
    <t>Equipment_Internal_TransportBarge_Staff</t>
  </si>
  <si>
    <t>Equipment_Internal_OtherMarine_Staff</t>
  </si>
  <si>
    <t>Equipment_Internal_Excavator_Staff</t>
  </si>
  <si>
    <t>Equipment_Internal_CrawlerCrane_Staff</t>
  </si>
  <si>
    <t>Equipment_Internal_Bulldozer_Staff</t>
  </si>
  <si>
    <t>Equipment_Internal_Wheelloader_Staff</t>
  </si>
  <si>
    <t>Equipment_Internal_DumperTruck_Staff</t>
  </si>
  <si>
    <t>Equipment_Total_FuelTanker_Staff</t>
  </si>
  <si>
    <t>Equipment_Total_WaterTanker_Staff</t>
  </si>
  <si>
    <t>Equipment_Total_CompactRoller_Staff</t>
  </si>
  <si>
    <t>Equipment_Total_Trailer_Staff</t>
  </si>
  <si>
    <t>Equipment_Total_CarBusPickup_Staff</t>
  </si>
  <si>
    <t>Equipment_Internal_OtherDryEarth_Staff</t>
  </si>
  <si>
    <t>Equipment_Internal_MobDemobMarine_Staff</t>
  </si>
  <si>
    <t>Equipment_Internal_MobDemobDryearth_Staff</t>
  </si>
  <si>
    <t>Equipment_Internal_OtherEquipment_Staff</t>
  </si>
  <si>
    <t>(Ex 1500-01)</t>
  </si>
  <si>
    <t>Demob_Materials_Pipeline</t>
  </si>
  <si>
    <t>Demob_Materials_Teeth</t>
  </si>
  <si>
    <t>Demob_Materials_Steel</t>
  </si>
  <si>
    <t>Demob_Materials_Rock</t>
  </si>
  <si>
    <t>Demob_Materials_Concrete</t>
  </si>
  <si>
    <t>DayRates_Materials_Pipeline</t>
  </si>
  <si>
    <t>DayRates_Materials_Teeth</t>
  </si>
  <si>
    <t>DayRates_Materials_Steel</t>
  </si>
  <si>
    <t>DayRates_Materials_Rock</t>
  </si>
  <si>
    <t>DayRates_Materials_Concrete</t>
  </si>
  <si>
    <t>DayRates_Materials_Other</t>
  </si>
  <si>
    <t>Other info to be filled in immediately in the database!</t>
  </si>
  <si>
    <t>This cell should match with the tendernumber in the database</t>
  </si>
  <si>
    <t>This cell should match with the revisionnumber in the database</t>
  </si>
  <si>
    <t>Equipment_Total_MobDemobDryearth_Number</t>
  </si>
  <si>
    <t>SoilImprovement_Materials_Pipeline</t>
  </si>
  <si>
    <t>SoilImprovement_Materials_Teeth</t>
  </si>
  <si>
    <t>SoilImprovement_Materials_Steel</t>
  </si>
  <si>
    <t>SoilImprovement_Materials_Rock</t>
  </si>
  <si>
    <t>SoilImprovement_Materials_Concrete</t>
  </si>
  <si>
    <t>SoilImprovement_Materials_Other</t>
  </si>
  <si>
    <t>Demob_Materials_Other</t>
  </si>
  <si>
    <t>TenderNumber-TenderRevision</t>
  </si>
  <si>
    <t>CSD</t>
  </si>
  <si>
    <t>TSHD</t>
  </si>
  <si>
    <t>BHD</t>
  </si>
  <si>
    <t>Grab Dredger</t>
  </si>
  <si>
    <t>Booster</t>
  </si>
  <si>
    <t>Crew Boat + Survey</t>
  </si>
  <si>
    <t>Work Barge</t>
  </si>
  <si>
    <t>Transport Barge</t>
  </si>
  <si>
    <t>Equipment_Internal_CSD_DI</t>
  </si>
  <si>
    <t>Equipment_Internal_TSHD_DI</t>
  </si>
  <si>
    <t>Equipment_Internal_BHD_DI</t>
  </si>
  <si>
    <t>Equipment_Internal_GD_DI</t>
  </si>
  <si>
    <t>Equipment_Internal_CSD_FixedMR</t>
  </si>
  <si>
    <t>Equipment_Internal_TSHD_FixedMR</t>
  </si>
  <si>
    <t>Equipment_Internal_BHD_FixedMR</t>
  </si>
  <si>
    <t>Equipment_Internal_GD_FixedMR</t>
  </si>
  <si>
    <t>Equipment_Internal_CSD_VariableMR</t>
  </si>
  <si>
    <t>Equipment_Internal_TSHD_VariableMR</t>
  </si>
  <si>
    <t>Equipment_Internal_BHD_VariableMR</t>
  </si>
  <si>
    <t>Equipment_Internal_GD_VariableMR</t>
  </si>
  <si>
    <t>Equipment_Internal_CSD_Insurance</t>
  </si>
  <si>
    <t>Equipment_Internal_TSHD_Insurance</t>
  </si>
  <si>
    <t>Equipment_Internal_BHD_Insurance</t>
  </si>
  <si>
    <t>Equipment_Internal_GD_Insurance</t>
  </si>
  <si>
    <t>Equipment_External_CSD</t>
  </si>
  <si>
    <t>Equipment_External_TSHD</t>
  </si>
  <si>
    <t>Equipment_External_BHD</t>
  </si>
  <si>
    <t>Equipment_External_GD</t>
  </si>
  <si>
    <t>Equipment_Total_CSD_Number</t>
  </si>
  <si>
    <t>Equipment_Total_TSHD_Number</t>
  </si>
  <si>
    <t>Equipment_Total_BHD_Number</t>
  </si>
  <si>
    <t>Equipment_Total_GD_Number</t>
  </si>
  <si>
    <t>Equipment_Internal_CSD_TechOH</t>
  </si>
  <si>
    <t>Equipment_Internal_TSHD_TechOH</t>
  </si>
  <si>
    <t>Equipment_Internal_BHD_TechOH</t>
  </si>
  <si>
    <t>Equipment_Internal_GD_TechOH</t>
  </si>
  <si>
    <t>Equipment_Internal_CSD_Labour</t>
  </si>
  <si>
    <t>Equipment_Internal_TSHD_Labour</t>
  </si>
  <si>
    <t>Equipment_Internal_BHD_Labour</t>
  </si>
  <si>
    <t>Equipment_Internal_GD_Labour</t>
  </si>
  <si>
    <t>Equipment_Internal_CSD_Staff</t>
  </si>
  <si>
    <t>Equipment_Internal_TSHD_Staff</t>
  </si>
  <si>
    <t>Equipment_Internal_BHD_Staff</t>
  </si>
  <si>
    <t>Equipment_Internal_GD_Staff</t>
  </si>
  <si>
    <t>AED</t>
  </si>
  <si>
    <t xml:space="preserve">1743-01 </t>
  </si>
  <si>
    <t>BS-BAHRAIN-Expansion of Storage Yard Area</t>
  </si>
  <si>
    <t>1</t>
  </si>
  <si>
    <t>2</t>
  </si>
  <si>
    <t>7</t>
  </si>
  <si>
    <t>4</t>
  </si>
  <si>
    <t>16</t>
  </si>
  <si>
    <t>5</t>
  </si>
  <si>
    <t>3</t>
  </si>
  <si>
    <t>1743-01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</si>
</sst>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-* #,##0.00_-;\-* #,##0.00_-;_-* &quot;-&quot;??_-;_-@_-"/>
    <numFmt numFmtId="167" formatCode="#."/>
    <numFmt numFmtId="168" formatCode="#,##0.0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name val="Arial"/>
      <family val="2"/>
    </font>
    <font>
      <sz val="1"/>
      <color indexed="16"/>
      <name val="Courier"/>
      <family val="3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2"/>
      <name val="Times New Roman"/>
      <family val="1"/>
    </font>
    <font>
      <sz val="12"/>
      <name val="|??¢¥¢¬¨Ï"/>
      <family val="1"/>
      <charset val="129"/>
    </font>
    <font>
      <sz val="12"/>
      <name val="|??´¸ⓒ"/>
      <family val="1"/>
      <charset val="129"/>
    </font>
    <font>
      <sz val="12"/>
      <name val="COUR"/>
      <family val="3"/>
    </font>
    <font>
      <sz val="10"/>
      <name val="±¼¸²Ã¼"/>
      <family val="3"/>
      <charset val="129"/>
    </font>
    <font>
      <sz val="10"/>
      <name val="굴림체"/>
      <family val="3"/>
      <charset val="129"/>
    </font>
    <font>
      <sz val="1"/>
      <color indexed="8"/>
      <name val="Courier"/>
      <family val="3"/>
    </font>
    <font>
      <sz val="11"/>
      <name val="¾©"/>
      <family val="3"/>
      <charset val="129"/>
    </font>
    <font>
      <sz val="11"/>
      <name val="굴림체"/>
      <family val="3"/>
      <charset val="129"/>
    </font>
    <font>
      <sz val="1"/>
      <color indexed="0"/>
      <name val="Courier"/>
      <family val="3"/>
    </font>
    <font>
      <sz val="11"/>
      <name val="±¼¸²Ã¼"/>
      <family val="3"/>
      <charset val="129"/>
    </font>
    <font>
      <sz val="12"/>
      <name val="¹ÙÅÁÃ¼"/>
      <family val="1"/>
      <charset val="129"/>
    </font>
    <font>
      <sz val="12"/>
      <name val="¹ÙÅÁÃ¼"/>
      <family val="3"/>
      <charset val="129"/>
    </font>
    <font>
      <sz val="12"/>
      <name val="Arial"/>
      <family val="2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78"/>
    </font>
    <font>
      <sz val="9"/>
      <name val="굴림체"/>
      <family val="3"/>
      <charset val="129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0"/>
      <name val="±¼¸²A¼"/>
      <family val="3"/>
      <charset val="129"/>
    </font>
    <font>
      <sz val="12"/>
      <name val="¡ERER￠RER¡ER¡E?IoUAAA￠RERE"/>
      <family val="3"/>
      <charset val="129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sz val="12"/>
      <name val="System"/>
      <family val="1"/>
      <charset val="178"/>
    </font>
    <font>
      <sz val="8"/>
      <name val="¹UAAA¼"/>
      <family val="1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2"/>
      <name val="ฉ๖UAAAจ๙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lightUp">
        <fgColor theme="2"/>
        <bgColor theme="2" tint="-0.24994659260841701"/>
      </patternFill>
    </fill>
    <fill>
      <patternFill patternType="lightUp">
        <fgColor theme="2"/>
        <bgColor theme="2" tint="-9.9948118533890809E-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Up">
        <fgColor theme="2"/>
        <bgColor rgb="FFFFFF00"/>
      </patternFill>
    </fill>
  </fills>
  <borders count="9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ck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</borders>
  <cellStyleXfs count="118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0" fontId="11" fillId="0" borderId="0"/>
    <xf numFmtId="0" fontId="13" fillId="0" borderId="0">
      <protection locked="0"/>
    </xf>
    <xf numFmtId="0" fontId="12" fillId="0" borderId="0"/>
    <xf numFmtId="0" fontId="12" fillId="0" borderId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167" fontId="13" fillId="0" borderId="0">
      <protection locked="0"/>
    </xf>
    <xf numFmtId="0" fontId="12" fillId="0" borderId="0"/>
    <xf numFmtId="0" fontId="12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8" fillId="0" borderId="0"/>
    <xf numFmtId="0" fontId="19" fillId="0" borderId="0"/>
    <xf numFmtId="0" fontId="20" fillId="21" borderId="0"/>
    <xf numFmtId="0" fontId="22" fillId="0" borderId="0"/>
    <xf numFmtId="0" fontId="12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3" fillId="0" borderId="0">
      <protection locked="0"/>
    </xf>
    <xf numFmtId="0" fontId="13" fillId="0" borderId="0"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4" fillId="0" borderId="0"/>
    <xf numFmtId="0" fontId="2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>
      <protection locked="0"/>
    </xf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3" fillId="0" borderId="0">
      <protection locked="0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3" fillId="0" borderId="0">
      <protection locked="0"/>
    </xf>
    <xf numFmtId="0" fontId="2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3" fillId="0" borderId="0">
      <protection locked="0"/>
    </xf>
    <xf numFmtId="0" fontId="12" fillId="0" borderId="0" applyFont="0" applyFill="0" applyBorder="0" applyAlignment="0" applyProtection="0"/>
    <xf numFmtId="0" fontId="38" fillId="0" borderId="0"/>
    <xf numFmtId="0" fontId="40" fillId="0" borderId="0"/>
    <xf numFmtId="0" fontId="42" fillId="0" borderId="0"/>
    <xf numFmtId="0" fontId="43" fillId="0" borderId="0"/>
    <xf numFmtId="0" fontId="32" fillId="0" borderId="0"/>
    <xf numFmtId="0" fontId="27" fillId="0" borderId="0"/>
    <xf numFmtId="0" fontId="44" fillId="0" borderId="0"/>
    <xf numFmtId="0" fontId="21" fillId="0" borderId="0"/>
    <xf numFmtId="0" fontId="45" fillId="0" borderId="0"/>
    <xf numFmtId="0" fontId="46" fillId="0" borderId="0"/>
    <xf numFmtId="0" fontId="37" fillId="0" borderId="0"/>
    <xf numFmtId="0" fontId="29" fillId="0" borderId="0"/>
    <xf numFmtId="0" fontId="38" fillId="0" borderId="0"/>
    <xf numFmtId="0" fontId="30" fillId="0" borderId="0"/>
    <xf numFmtId="0" fontId="36" fillId="0" borderId="0"/>
    <xf numFmtId="0" fontId="28" fillId="0" borderId="0"/>
    <xf numFmtId="0" fontId="39" fillId="0" borderId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47" fillId="0" borderId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6" fillId="0" borderId="0">
      <protection locked="0"/>
    </xf>
    <xf numFmtId="0" fontId="14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</cellStyleXfs>
  <cellXfs count="39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43" fontId="0" fillId="0" borderId="0" xfId="1" applyFont="1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5" borderId="0" xfId="0" applyFill="1"/>
    <xf numFmtId="0" fontId="2" fillId="0" borderId="10" xfId="0" applyFont="1" applyBorder="1" applyAlignment="1">
      <alignment horizontal="center"/>
    </xf>
    <xf numFmtId="0" fontId="0" fillId="0" borderId="6" xfId="0" applyBorder="1"/>
    <xf numFmtId="0" fontId="0" fillId="0" borderId="25" xfId="0" applyBorder="1"/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2" fillId="0" borderId="37" xfId="0" applyFont="1" applyBorder="1"/>
    <xf numFmtId="0" fontId="2" fillId="0" borderId="36" xfId="0" applyFont="1" applyBorder="1"/>
    <xf numFmtId="0" fontId="0" fillId="0" borderId="38" xfId="0" applyBorder="1"/>
    <xf numFmtId="0" fontId="0" fillId="0" borderId="39" xfId="0" applyBorder="1"/>
    <xf numFmtId="0" fontId="2" fillId="0" borderId="41" xfId="0" applyFont="1" applyBorder="1"/>
    <xf numFmtId="0" fontId="2" fillId="0" borderId="19" xfId="0" applyFont="1" applyBorder="1"/>
    <xf numFmtId="0" fontId="0" fillId="0" borderId="42" xfId="0" applyFont="1" applyBorder="1"/>
    <xf numFmtId="0" fontId="0" fillId="0" borderId="29" xfId="0" applyFont="1" applyBorder="1"/>
    <xf numFmtId="0" fontId="0" fillId="0" borderId="43" xfId="0" applyFont="1" applyBorder="1"/>
    <xf numFmtId="0" fontId="0" fillId="0" borderId="44" xfId="0" applyFont="1" applyBorder="1"/>
    <xf numFmtId="0" fontId="0" fillId="0" borderId="39" xfId="0" applyFont="1" applyBorder="1"/>
    <xf numFmtId="0" fontId="0" fillId="0" borderId="32" xfId="0" applyFont="1" applyBorder="1"/>
    <xf numFmtId="0" fontId="0" fillId="0" borderId="38" xfId="0" applyFont="1" applyBorder="1"/>
    <xf numFmtId="0" fontId="0" fillId="0" borderId="26" xfId="0" applyFont="1" applyBorder="1"/>
    <xf numFmtId="0" fontId="0" fillId="0" borderId="50" xfId="0" applyFont="1" applyBorder="1"/>
    <xf numFmtId="0" fontId="0" fillId="0" borderId="47" xfId="0" applyFont="1" applyBorder="1"/>
    <xf numFmtId="0" fontId="0" fillId="0" borderId="32" xfId="0" applyFont="1" applyFill="1" applyBorder="1"/>
    <xf numFmtId="0" fontId="0" fillId="0" borderId="50" xfId="0" applyBorder="1"/>
    <xf numFmtId="0" fontId="0" fillId="0" borderId="47" xfId="0" applyBorder="1"/>
    <xf numFmtId="3" fontId="2" fillId="0" borderId="0" xfId="0" applyNumberFormat="1" applyFont="1" applyBorder="1"/>
    <xf numFmtId="3" fontId="0" fillId="0" borderId="8" xfId="1" applyNumberFormat="1" applyFont="1" applyBorder="1"/>
    <xf numFmtId="3" fontId="0" fillId="0" borderId="6" xfId="1" applyNumberFormat="1" applyFont="1" applyBorder="1"/>
    <xf numFmtId="3" fontId="0" fillId="0" borderId="20" xfId="0" applyNumberFormat="1" applyBorder="1"/>
    <xf numFmtId="3" fontId="0" fillId="0" borderId="7" xfId="0" applyNumberFormat="1" applyBorder="1"/>
    <xf numFmtId="3" fontId="0" fillId="0" borderId="0" xfId="0" applyNumberFormat="1" applyBorder="1"/>
    <xf numFmtId="3" fontId="0" fillId="0" borderId="3" xfId="1" applyNumberFormat="1" applyFont="1" applyBorder="1"/>
    <xf numFmtId="3" fontId="2" fillId="0" borderId="20" xfId="0" applyNumberFormat="1" applyFont="1" applyBorder="1"/>
    <xf numFmtId="3" fontId="2" fillId="0" borderId="7" xfId="0" applyNumberFormat="1" applyFont="1" applyBorder="1"/>
    <xf numFmtId="3" fontId="2" fillId="0" borderId="8" xfId="1" applyNumberFormat="1" applyFont="1" applyBorder="1"/>
    <xf numFmtId="3" fontId="2" fillId="0" borderId="6" xfId="1" applyNumberFormat="1" applyFont="1" applyBorder="1"/>
    <xf numFmtId="3" fontId="2" fillId="0" borderId="3" xfId="1" applyNumberFormat="1" applyFont="1" applyBorder="1"/>
    <xf numFmtId="3" fontId="2" fillId="7" borderId="40" xfId="0" applyNumberFormat="1" applyFont="1" applyFill="1" applyBorder="1"/>
    <xf numFmtId="3" fontId="2" fillId="7" borderId="37" xfId="0" applyNumberFormat="1" applyFont="1" applyFill="1" applyBorder="1"/>
    <xf numFmtId="3" fontId="2" fillId="7" borderId="37" xfId="1" applyNumberFormat="1" applyFont="1" applyFill="1" applyBorder="1"/>
    <xf numFmtId="3" fontId="2" fillId="7" borderId="23" xfId="1" applyNumberFormat="1" applyFont="1" applyFill="1" applyBorder="1"/>
    <xf numFmtId="3" fontId="2" fillId="7" borderId="24" xfId="0" applyNumberFormat="1" applyFont="1" applyFill="1" applyBorder="1"/>
    <xf numFmtId="3" fontId="2" fillId="7" borderId="21" xfId="0" applyNumberFormat="1" applyFont="1" applyFill="1" applyBorder="1"/>
    <xf numFmtId="3" fontId="2" fillId="7" borderId="0" xfId="0" applyNumberFormat="1" applyFont="1" applyFill="1" applyBorder="1"/>
    <xf numFmtId="3" fontId="2" fillId="7" borderId="8" xfId="1" applyNumberFormat="1" applyFont="1" applyFill="1" applyBorder="1"/>
    <xf numFmtId="3" fontId="2" fillId="7" borderId="6" xfId="1" applyNumberFormat="1" applyFont="1" applyFill="1" applyBorder="1"/>
    <xf numFmtId="3" fontId="2" fillId="7" borderId="14" xfId="1" applyNumberFormat="1" applyFont="1" applyFill="1" applyBorder="1"/>
    <xf numFmtId="0" fontId="2" fillId="7" borderId="37" xfId="0" applyFont="1" applyFill="1" applyBorder="1"/>
    <xf numFmtId="0" fontId="2" fillId="7" borderId="36" xfId="0" applyFont="1" applyFill="1" applyBorder="1"/>
    <xf numFmtId="0" fontId="2" fillId="7" borderId="51" xfId="0" applyFont="1" applyFill="1" applyBorder="1"/>
    <xf numFmtId="0" fontId="2" fillId="7" borderId="52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3" fontId="3" fillId="7" borderId="27" xfId="1" applyNumberFormat="1" applyFont="1" applyFill="1" applyBorder="1"/>
    <xf numFmtId="3" fontId="3" fillId="7" borderId="33" xfId="1" applyNumberFormat="1" applyFont="1" applyFill="1" applyBorder="1"/>
    <xf numFmtId="3" fontId="1" fillId="7" borderId="27" xfId="1" applyNumberFormat="1" applyFont="1" applyFill="1" applyBorder="1"/>
    <xf numFmtId="3" fontId="1" fillId="7" borderId="48" xfId="1" applyNumberFormat="1" applyFont="1" applyFill="1" applyBorder="1"/>
    <xf numFmtId="3" fontId="1" fillId="7" borderId="33" xfId="1" applyNumberFormat="1" applyFont="1" applyFill="1" applyBorder="1"/>
    <xf numFmtId="3" fontId="0" fillId="7" borderId="23" xfId="1" applyNumberFormat="1" applyFont="1" applyFill="1" applyBorder="1"/>
    <xf numFmtId="3" fontId="2" fillId="7" borderId="41" xfId="0" applyNumberFormat="1" applyFont="1" applyFill="1" applyBorder="1"/>
    <xf numFmtId="164" fontId="0" fillId="0" borderId="0" xfId="0" applyNumberFormat="1"/>
    <xf numFmtId="43" fontId="2" fillId="0" borderId="14" xfId="1" applyFont="1" applyBorder="1" applyAlignment="1"/>
    <xf numFmtId="43" fontId="2" fillId="0" borderId="15" xfId="1" applyFont="1" applyBorder="1" applyAlignment="1">
      <alignment horizontal="center"/>
    </xf>
    <xf numFmtId="49" fontId="0" fillId="0" borderId="0" xfId="0" applyNumberFormat="1" applyFont="1" applyAlignment="1">
      <alignment vertical="top"/>
    </xf>
    <xf numFmtId="43" fontId="2" fillId="0" borderId="15" xfId="1" applyFont="1" applyBorder="1" applyAlignment="1"/>
    <xf numFmtId="9" fontId="2" fillId="7" borderId="9" xfId="1" applyNumberFormat="1" applyFont="1" applyFill="1" applyBorder="1"/>
    <xf numFmtId="9" fontId="2" fillId="7" borderId="21" xfId="1" applyNumberFormat="1" applyFont="1" applyFill="1" applyBorder="1"/>
    <xf numFmtId="9" fontId="0" fillId="0" borderId="55" xfId="1" applyNumberFormat="1" applyFont="1" applyBorder="1"/>
    <xf numFmtId="9" fontId="0" fillId="0" borderId="7" xfId="1" applyNumberFormat="1" applyFont="1" applyBorder="1"/>
    <xf numFmtId="9" fontId="2" fillId="7" borderId="40" xfId="1" applyNumberFormat="1" applyFont="1" applyFill="1" applyBorder="1"/>
    <xf numFmtId="9" fontId="2" fillId="7" borderId="36" xfId="1" applyNumberFormat="1" applyFont="1" applyFill="1" applyBorder="1"/>
    <xf numFmtId="9" fontId="2" fillId="0" borderId="55" xfId="1" applyNumberFormat="1" applyFont="1" applyBorder="1"/>
    <xf numFmtId="9" fontId="2" fillId="0" borderId="7" xfId="1" applyNumberFormat="1" applyFont="1" applyBorder="1"/>
    <xf numFmtId="3" fontId="0" fillId="0" borderId="55" xfId="1" applyNumberFormat="1" applyFont="1" applyBorder="1"/>
    <xf numFmtId="3" fontId="0" fillId="0" borderId="7" xfId="1" applyNumberFormat="1" applyFont="1" applyBorder="1"/>
    <xf numFmtId="3" fontId="2" fillId="7" borderId="19" xfId="0" applyNumberFormat="1" applyFont="1" applyFill="1" applyBorder="1"/>
    <xf numFmtId="3" fontId="2" fillId="7" borderId="57" xfId="0" applyNumberFormat="1" applyFont="1" applyFill="1" applyBorder="1"/>
    <xf numFmtId="3" fontId="2" fillId="7" borderId="11" xfId="0" applyNumberFormat="1" applyFont="1" applyFill="1" applyBorder="1"/>
    <xf numFmtId="3" fontId="2" fillId="7" borderId="9" xfId="0" applyNumberFormat="1" applyFont="1" applyFill="1" applyBorder="1"/>
    <xf numFmtId="3" fontId="2" fillId="7" borderId="58" xfId="0" applyNumberFormat="1" applyFont="1" applyFill="1" applyBorder="1"/>
    <xf numFmtId="3" fontId="0" fillId="0" borderId="55" xfId="0" applyNumberFormat="1" applyBorder="1"/>
    <xf numFmtId="3" fontId="0" fillId="0" borderId="5" xfId="0" applyNumberFormat="1" applyBorder="1"/>
    <xf numFmtId="3" fontId="2" fillId="0" borderId="55" xfId="0" applyNumberFormat="1" applyFont="1" applyBorder="1"/>
    <xf numFmtId="3" fontId="2" fillId="0" borderId="5" xfId="0" applyNumberFormat="1" applyFont="1" applyBorder="1"/>
    <xf numFmtId="3" fontId="2" fillId="7" borderId="59" xfId="0" applyNumberFormat="1" applyFont="1" applyFill="1" applyBorder="1"/>
    <xf numFmtId="9" fontId="2" fillId="7" borderId="58" xfId="1" applyNumberFormat="1" applyFont="1" applyFill="1" applyBorder="1"/>
    <xf numFmtId="9" fontId="0" fillId="0" borderId="5" xfId="1" applyNumberFormat="1" applyFont="1" applyBorder="1"/>
    <xf numFmtId="9" fontId="2" fillId="7" borderId="37" xfId="1" applyNumberFormat="1" applyFont="1" applyFill="1" applyBorder="1"/>
    <xf numFmtId="9" fontId="2" fillId="0" borderId="5" xfId="1" applyNumberFormat="1" applyFont="1" applyBorder="1"/>
    <xf numFmtId="3" fontId="0" fillId="0" borderId="5" xfId="1" applyNumberFormat="1" applyFont="1" applyBorder="1"/>
    <xf numFmtId="3" fontId="2" fillId="7" borderId="60" xfId="0" applyNumberFormat="1" applyFont="1" applyFill="1" applyBorder="1"/>
    <xf numFmtId="3" fontId="0" fillId="0" borderId="6" xfId="0" applyNumberFormat="1" applyBorder="1"/>
    <xf numFmtId="3" fontId="2" fillId="7" borderId="61" xfId="0" applyNumberFormat="1" applyFont="1" applyFill="1" applyBorder="1"/>
    <xf numFmtId="3" fontId="2" fillId="0" borderId="6" xfId="0" applyNumberFormat="1" applyFont="1" applyBorder="1"/>
    <xf numFmtId="43" fontId="2" fillId="0" borderId="3" xfId="1" applyFont="1" applyFill="1" applyBorder="1" applyAlignment="1">
      <alignment horizontal="center"/>
    </xf>
    <xf numFmtId="0" fontId="3" fillId="0" borderId="0" xfId="0" applyFont="1" applyFill="1" applyProtection="1"/>
    <xf numFmtId="165" fontId="3" fillId="0" borderId="0" xfId="0" applyNumberFormat="1" applyFont="1" applyFill="1" applyProtection="1"/>
    <xf numFmtId="49" fontId="5" fillId="0" borderId="37" xfId="0" applyNumberFormat="1" applyFont="1" applyFill="1" applyBorder="1" applyProtection="1"/>
    <xf numFmtId="49" fontId="4" fillId="0" borderId="63" xfId="0" applyNumberFormat="1" applyFont="1" applyFill="1" applyBorder="1" applyAlignment="1" applyProtection="1">
      <alignment horizontal="left" indent="3"/>
    </xf>
    <xf numFmtId="49" fontId="4" fillId="0" borderId="38" xfId="0" applyNumberFormat="1" applyFont="1" applyFill="1" applyBorder="1" applyAlignment="1" applyProtection="1">
      <alignment horizontal="left" indent="2"/>
    </xf>
    <xf numFmtId="49" fontId="4" fillId="0" borderId="50" xfId="0" applyNumberFormat="1" applyFont="1" applyFill="1" applyBorder="1" applyAlignment="1" applyProtection="1">
      <alignment horizontal="left" indent="2"/>
    </xf>
    <xf numFmtId="49" fontId="4" fillId="0" borderId="39" xfId="0" applyNumberFormat="1" applyFont="1" applyFill="1" applyBorder="1" applyAlignment="1" applyProtection="1">
      <alignment horizontal="left" indent="2"/>
    </xf>
    <xf numFmtId="49" fontId="4" fillId="0" borderId="65" xfId="0" applyNumberFormat="1" applyFont="1" applyFill="1" applyBorder="1" applyAlignment="1" applyProtection="1">
      <alignment horizontal="left" indent="2"/>
    </xf>
    <xf numFmtId="49" fontId="4" fillId="0" borderId="63" xfId="0" applyNumberFormat="1" applyFont="1" applyFill="1" applyBorder="1" applyProtection="1"/>
    <xf numFmtId="165" fontId="0" fillId="0" borderId="0" xfId="0" applyNumberFormat="1" applyFill="1" applyBorder="1" applyProtection="1"/>
    <xf numFmtId="0" fontId="2" fillId="0" borderId="0" xfId="0" applyFont="1"/>
    <xf numFmtId="0" fontId="2" fillId="0" borderId="61" xfId="0" applyFont="1" applyBorder="1"/>
    <xf numFmtId="0" fontId="2" fillId="5" borderId="62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" fillId="0" borderId="83" xfId="0" applyFont="1" applyFill="1" applyBorder="1" applyAlignment="1">
      <alignment horizontal="center"/>
    </xf>
    <xf numFmtId="49" fontId="4" fillId="0" borderId="29" xfId="0" applyNumberFormat="1" applyFont="1" applyFill="1" applyBorder="1" applyAlignment="1" applyProtection="1">
      <alignment horizontal="center"/>
    </xf>
    <xf numFmtId="49" fontId="4" fillId="0" borderId="44" xfId="0" applyNumberFormat="1" applyFont="1" applyFill="1" applyBorder="1" applyAlignment="1" applyProtection="1">
      <alignment horizontal="center"/>
    </xf>
    <xf numFmtId="49" fontId="4" fillId="0" borderId="35" xfId="0" applyNumberFormat="1" applyFont="1" applyFill="1" applyBorder="1" applyAlignment="1" applyProtection="1">
      <alignment horizontal="center"/>
    </xf>
    <xf numFmtId="49" fontId="4" fillId="0" borderId="75" xfId="0" applyNumberFormat="1" applyFont="1" applyFill="1" applyBorder="1" applyAlignment="1" applyProtection="1">
      <alignment horizontal="center"/>
    </xf>
    <xf numFmtId="49" fontId="4" fillId="0" borderId="63" xfId="0" applyNumberFormat="1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center"/>
    </xf>
    <xf numFmtId="0" fontId="0" fillId="0" borderId="63" xfId="0" applyFill="1" applyBorder="1" applyAlignment="1" applyProtection="1">
      <alignment horizontal="center"/>
    </xf>
    <xf numFmtId="49" fontId="5" fillId="0" borderId="63" xfId="0" applyNumberFormat="1" applyFont="1" applyFill="1" applyBorder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  <xf numFmtId="165" fontId="7" fillId="0" borderId="0" xfId="0" applyNumberFormat="1" applyFont="1" applyFill="1" applyBorder="1" applyAlignment="1" applyProtection="1">
      <alignment horizontal="left"/>
    </xf>
    <xf numFmtId="37" fontId="0" fillId="0" borderId="67" xfId="0" applyNumberFormat="1" applyFill="1" applyBorder="1" applyAlignment="1" applyProtection="1">
      <alignment horizontal="center"/>
    </xf>
    <xf numFmtId="37" fontId="0" fillId="0" borderId="68" xfId="0" applyNumberFormat="1" applyFill="1" applyBorder="1" applyAlignment="1" applyProtection="1">
      <alignment horizontal="center"/>
    </xf>
    <xf numFmtId="37" fontId="0" fillId="0" borderId="69" xfId="0" applyNumberFormat="1" applyFill="1" applyBorder="1" applyAlignment="1" applyProtection="1">
      <alignment horizontal="center"/>
    </xf>
    <xf numFmtId="37" fontId="0" fillId="0" borderId="73" xfId="0" applyNumberFormat="1" applyFill="1" applyBorder="1" applyAlignment="1" applyProtection="1">
      <alignment horizontal="center"/>
    </xf>
    <xf numFmtId="37" fontId="0" fillId="8" borderId="28" xfId="0" applyNumberFormat="1" applyFill="1" applyBorder="1" applyAlignment="1" applyProtection="1">
      <alignment horizontal="center"/>
    </xf>
    <xf numFmtId="37" fontId="0" fillId="0" borderId="56" xfId="0" applyNumberFormat="1" applyFill="1" applyBorder="1" applyAlignment="1" applyProtection="1">
      <alignment horizontal="center"/>
    </xf>
    <xf numFmtId="37" fontId="0" fillId="0" borderId="50" xfId="0" applyNumberFormat="1" applyFill="1" applyBorder="1" applyAlignment="1" applyProtection="1">
      <alignment horizontal="center"/>
    </xf>
    <xf numFmtId="37" fontId="0" fillId="0" borderId="46" xfId="0" applyNumberFormat="1" applyFill="1" applyBorder="1" applyAlignment="1" applyProtection="1">
      <alignment horizontal="center"/>
    </xf>
    <xf numFmtId="37" fontId="0" fillId="0" borderId="48" xfId="0" applyNumberFormat="1" applyFill="1" applyBorder="1" applyAlignment="1" applyProtection="1">
      <alignment horizontal="center"/>
    </xf>
    <xf numFmtId="37" fontId="0" fillId="0" borderId="70" xfId="0" applyNumberFormat="1" applyFill="1" applyBorder="1" applyAlignment="1" applyProtection="1">
      <alignment horizontal="center"/>
    </xf>
    <xf numFmtId="37" fontId="0" fillId="0" borderId="71" xfId="0" applyNumberFormat="1" applyFill="1" applyBorder="1" applyAlignment="1" applyProtection="1">
      <alignment horizontal="center"/>
    </xf>
    <xf numFmtId="37" fontId="0" fillId="0" borderId="72" xfId="0" applyNumberFormat="1" applyFill="1" applyBorder="1" applyAlignment="1" applyProtection="1">
      <alignment horizontal="center"/>
    </xf>
    <xf numFmtId="37" fontId="0" fillId="0" borderId="74" xfId="0" applyNumberFormat="1" applyFill="1" applyBorder="1" applyAlignment="1" applyProtection="1">
      <alignment horizontal="center"/>
    </xf>
    <xf numFmtId="3" fontId="6" fillId="0" borderId="41" xfId="0" applyNumberFormat="1" applyFont="1" applyFill="1" applyBorder="1" applyAlignment="1" applyProtection="1">
      <alignment horizontal="center"/>
    </xf>
    <xf numFmtId="3" fontId="6" fillId="8" borderId="62" xfId="0" applyNumberFormat="1" applyFont="1" applyFill="1" applyBorder="1" applyAlignment="1" applyProtection="1">
      <alignment horizontal="center"/>
    </xf>
    <xf numFmtId="3" fontId="0" fillId="0" borderId="0" xfId="0" applyNumberFormat="1" applyFill="1" applyBorder="1" applyAlignment="1" applyProtection="1">
      <alignment horizontal="center"/>
    </xf>
    <xf numFmtId="3" fontId="0" fillId="0" borderId="0" xfId="0" applyNumberFormat="1"/>
    <xf numFmtId="0" fontId="0" fillId="0" borderId="0" xfId="0"/>
    <xf numFmtId="0" fontId="0" fillId="0" borderId="0" xfId="0" applyFill="1"/>
    <xf numFmtId="0" fontId="2" fillId="0" borderId="85" xfId="0" applyFont="1" applyFill="1" applyBorder="1" applyAlignment="1">
      <alignment horizontal="center"/>
    </xf>
    <xf numFmtId="3" fontId="0" fillId="0" borderId="0" xfId="0" applyNumberFormat="1" applyFill="1" applyBorder="1" applyAlignment="1" applyProtection="1">
      <alignment horizontal="center" vertical="center"/>
    </xf>
    <xf numFmtId="0" fontId="9" fillId="0" borderId="79" xfId="0" applyFont="1" applyFill="1" applyBorder="1" applyAlignment="1">
      <alignment horizontal="center"/>
    </xf>
    <xf numFmtId="0" fontId="9" fillId="0" borderId="80" xfId="0" applyFont="1" applyFill="1" applyBorder="1" applyAlignment="1">
      <alignment horizontal="center"/>
    </xf>
    <xf numFmtId="0" fontId="9" fillId="0" borderId="81" xfId="0" applyFont="1" applyFill="1" applyBorder="1" applyAlignment="1">
      <alignment horizontal="center"/>
    </xf>
    <xf numFmtId="3" fontId="2" fillId="7" borderId="40" xfId="1" applyNumberFormat="1" applyFont="1" applyFill="1" applyBorder="1"/>
    <xf numFmtId="3" fontId="2" fillId="7" borderId="36" xfId="1" applyNumberFormat="1" applyFont="1" applyFill="1" applyBorder="1"/>
    <xf numFmtId="3" fontId="2" fillId="0" borderId="55" xfId="1" applyNumberFormat="1" applyFont="1" applyBorder="1"/>
    <xf numFmtId="3" fontId="2" fillId="0" borderId="7" xfId="1" applyNumberFormat="1" applyFont="1" applyBorder="1"/>
    <xf numFmtId="43" fontId="2" fillId="0" borderId="13" xfId="1" applyFont="1" applyBorder="1" applyAlignment="1">
      <alignment horizontal="center"/>
    </xf>
    <xf numFmtId="37" fontId="0" fillId="0" borderId="86" xfId="0" applyNumberFormat="1" applyFill="1" applyBorder="1" applyAlignment="1" applyProtection="1">
      <alignment horizontal="center"/>
    </xf>
    <xf numFmtId="37" fontId="0" fillId="0" borderId="87" xfId="0" applyNumberFormat="1" applyFill="1" applyBorder="1" applyAlignment="1" applyProtection="1">
      <alignment horizontal="center"/>
    </xf>
    <xf numFmtId="37" fontId="0" fillId="0" borderId="88" xfId="0" applyNumberFormat="1" applyFill="1" applyBorder="1" applyAlignment="1" applyProtection="1">
      <alignment horizontal="center"/>
    </xf>
    <xf numFmtId="37" fontId="0" fillId="0" borderId="89" xfId="0" applyNumberFormat="1" applyFill="1" applyBorder="1" applyAlignment="1" applyProtection="1">
      <alignment horizontal="center"/>
    </xf>
    <xf numFmtId="43" fontId="2" fillId="0" borderId="10" xfId="1" applyFont="1" applyBorder="1" applyAlignment="1">
      <alignment horizontal="center"/>
    </xf>
    <xf numFmtId="3" fontId="2" fillId="7" borderId="67" xfId="0" applyNumberFormat="1" applyFont="1" applyFill="1" applyBorder="1" applyAlignment="1">
      <alignment horizontal="center"/>
    </xf>
    <xf numFmtId="3" fontId="2" fillId="7" borderId="60" xfId="0" applyNumberFormat="1" applyFont="1" applyFill="1" applyBorder="1" applyAlignment="1">
      <alignment horizontal="center"/>
    </xf>
    <xf numFmtId="3" fontId="2" fillId="7" borderId="21" xfId="0" applyNumberFormat="1" applyFont="1" applyFill="1" applyBorder="1" applyAlignment="1">
      <alignment horizontal="center"/>
    </xf>
    <xf numFmtId="3" fontId="0" fillId="0" borderId="5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2" fillId="7" borderId="40" xfId="0" applyNumberFormat="1" applyFont="1" applyFill="1" applyBorder="1" applyAlignment="1">
      <alignment horizontal="center"/>
    </xf>
    <xf numFmtId="3" fontId="2" fillId="7" borderId="37" xfId="0" applyNumberFormat="1" applyFont="1" applyFill="1" applyBorder="1" applyAlignment="1">
      <alignment horizontal="center"/>
    </xf>
    <xf numFmtId="3" fontId="2" fillId="0" borderId="5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7" borderId="41" xfId="0" applyNumberFormat="1" applyFont="1" applyFill="1" applyBorder="1" applyAlignment="1">
      <alignment horizontal="center"/>
    </xf>
    <xf numFmtId="3" fontId="2" fillId="7" borderId="59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37" xfId="0" applyFont="1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2" fillId="0" borderId="63" xfId="0" applyFont="1" applyBorder="1"/>
    <xf numFmtId="0" fontId="0" fillId="0" borderId="0" xfId="0" applyBorder="1"/>
    <xf numFmtId="0" fontId="2" fillId="0" borderId="84" xfId="0" applyFont="1" applyBorder="1"/>
    <xf numFmtId="0" fontId="0" fillId="0" borderId="87" xfId="0" applyBorder="1"/>
    <xf numFmtId="0" fontId="2" fillId="0" borderId="51" xfId="0" applyFont="1" applyBorder="1" applyAlignment="1">
      <alignment horizontal="left" vertical="center"/>
    </xf>
    <xf numFmtId="0" fontId="2" fillId="0" borderId="51" xfId="0" applyFont="1" applyBorder="1"/>
    <xf numFmtId="0" fontId="0" fillId="0" borderId="90" xfId="0" applyBorder="1"/>
    <xf numFmtId="0" fontId="0" fillId="0" borderId="63" xfId="0" applyBorder="1"/>
    <xf numFmtId="0" fontId="0" fillId="0" borderId="0" xfId="0" applyFont="1" applyBorder="1"/>
    <xf numFmtId="0" fontId="2" fillId="0" borderId="0" xfId="0" applyFont="1" applyBorder="1"/>
    <xf numFmtId="0" fontId="2" fillId="0" borderId="37" xfId="0" applyFont="1" applyBorder="1" applyAlignment="1">
      <alignment wrapText="1"/>
    </xf>
    <xf numFmtId="37" fontId="0" fillId="2" borderId="69" xfId="0" applyNumberFormat="1" applyFill="1" applyBorder="1" applyAlignment="1" applyProtection="1">
      <alignment horizontal="center"/>
    </xf>
    <xf numFmtId="37" fontId="0" fillId="2" borderId="46" xfId="0" applyNumberFormat="1" applyFill="1" applyBorder="1" applyAlignment="1" applyProtection="1">
      <alignment horizontal="center"/>
    </xf>
    <xf numFmtId="37" fontId="0" fillId="2" borderId="72" xfId="0" applyNumberFormat="1" applyFill="1" applyBorder="1" applyAlignment="1" applyProtection="1">
      <alignment horizontal="center"/>
    </xf>
    <xf numFmtId="0" fontId="9" fillId="2" borderId="85" xfId="0" applyFont="1" applyFill="1" applyBorder="1" applyAlignment="1">
      <alignment horizontal="center"/>
    </xf>
    <xf numFmtId="37" fontId="0" fillId="2" borderId="88" xfId="0" applyNumberFormat="1" applyFill="1" applyBorder="1" applyAlignment="1" applyProtection="1">
      <alignment horizontal="center"/>
    </xf>
    <xf numFmtId="3" fontId="6" fillId="2" borderId="41" xfId="0" applyNumberFormat="1" applyFont="1" applyFill="1" applyBorder="1" applyAlignment="1" applyProtection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/>
    </xf>
    <xf numFmtId="0" fontId="48" fillId="0" borderId="0" xfId="0" applyFont="1"/>
    <xf numFmtId="0" fontId="0" fillId="5" borderId="37" xfId="0" applyFill="1" applyBorder="1" applyAlignment="1"/>
    <xf numFmtId="0" fontId="0" fillId="22" borderId="37" xfId="0" applyFill="1" applyBorder="1" applyAlignment="1"/>
    <xf numFmtId="0" fontId="0" fillId="23" borderId="37" xfId="0" applyFill="1" applyBorder="1" applyAlignment="1"/>
    <xf numFmtId="0" fontId="0" fillId="8" borderId="37" xfId="0" applyFill="1" applyBorder="1" applyAlignment="1"/>
    <xf numFmtId="0" fontId="0" fillId="24" borderId="37" xfId="0" applyFill="1" applyBorder="1" applyAlignment="1"/>
    <xf numFmtId="0" fontId="0" fillId="25" borderId="37" xfId="0" applyFill="1" applyBorder="1" applyAlignment="1"/>
    <xf numFmtId="0" fontId="0" fillId="0" borderId="0" xfId="0" applyAlignment="1"/>
    <xf numFmtId="9" fontId="0" fillId="0" borderId="0" xfId="0" applyNumberFormat="1"/>
    <xf numFmtId="0" fontId="2" fillId="26" borderId="0" xfId="0" applyFont="1" applyFill="1" applyBorder="1" applyAlignment="1">
      <alignment horizontal="left" vertical="center"/>
    </xf>
    <xf numFmtId="37" fontId="0" fillId="0" borderId="0" xfId="0" applyNumberFormat="1"/>
    <xf numFmtId="49" fontId="0" fillId="0" borderId="0" xfId="0" applyNumberFormat="1"/>
    <xf numFmtId="3" fontId="0" fillId="6" borderId="24" xfId="0" applyNumberFormat="1" applyFill="1" applyBorder="1" applyProtection="1">
      <protection locked="0"/>
    </xf>
    <xf numFmtId="3" fontId="0" fillId="6" borderId="25" xfId="0" applyNumberFormat="1" applyFill="1" applyBorder="1" applyProtection="1">
      <protection locked="0"/>
    </xf>
    <xf numFmtId="3" fontId="0" fillId="6" borderId="26" xfId="0" applyNumberFormat="1" applyFill="1" applyBorder="1" applyProtection="1">
      <protection locked="0"/>
    </xf>
    <xf numFmtId="3" fontId="0" fillId="6" borderId="53" xfId="0" applyNumberFormat="1" applyFill="1" applyBorder="1" applyProtection="1">
      <protection locked="0"/>
    </xf>
    <xf numFmtId="3" fontId="0" fillId="6" borderId="38" xfId="0" applyNumberFormat="1" applyFill="1" applyBorder="1" applyProtection="1">
      <protection locked="0"/>
    </xf>
    <xf numFmtId="3" fontId="0" fillId="6" borderId="29" xfId="0" applyNumberFormat="1" applyFill="1" applyBorder="1" applyProtection="1">
      <protection locked="0"/>
    </xf>
    <xf numFmtId="3" fontId="3" fillId="7" borderId="27" xfId="1" applyNumberFormat="1" applyFont="1" applyFill="1" applyBorder="1" applyProtection="1">
      <protection locked="0"/>
    </xf>
    <xf numFmtId="3" fontId="0" fillId="6" borderId="28" xfId="1" applyNumberFormat="1" applyFont="1" applyFill="1" applyBorder="1" applyProtection="1">
      <protection locked="0"/>
    </xf>
    <xf numFmtId="3" fontId="0" fillId="6" borderId="29" xfId="1" applyNumberFormat="1" applyFont="1" applyFill="1" applyBorder="1" applyProtection="1">
      <protection locked="0"/>
    </xf>
    <xf numFmtId="3" fontId="0" fillId="6" borderId="27" xfId="1" applyNumberFormat="1" applyFont="1" applyFill="1" applyBorder="1" applyProtection="1">
      <protection locked="0"/>
    </xf>
    <xf numFmtId="3" fontId="0" fillId="6" borderId="30" xfId="0" applyNumberFormat="1" applyFill="1" applyBorder="1" applyProtection="1">
      <protection locked="0"/>
    </xf>
    <xf numFmtId="3" fontId="0" fillId="6" borderId="31" xfId="0" applyNumberFormat="1" applyFill="1" applyBorder="1" applyProtection="1">
      <protection locked="0"/>
    </xf>
    <xf numFmtId="3" fontId="0" fillId="6" borderId="32" xfId="0" applyNumberFormat="1" applyFill="1" applyBorder="1" applyProtection="1">
      <protection locked="0"/>
    </xf>
    <xf numFmtId="3" fontId="0" fillId="6" borderId="54" xfId="0" applyNumberFormat="1" applyFill="1" applyBorder="1" applyProtection="1">
      <protection locked="0"/>
    </xf>
    <xf numFmtId="3" fontId="0" fillId="6" borderId="39" xfId="0" applyNumberFormat="1" applyFill="1" applyBorder="1" applyProtection="1">
      <protection locked="0"/>
    </xf>
    <xf numFmtId="3" fontId="0" fillId="6" borderId="35" xfId="0" applyNumberFormat="1" applyFill="1" applyBorder="1" applyProtection="1">
      <protection locked="0"/>
    </xf>
    <xf numFmtId="3" fontId="3" fillId="7" borderId="33" xfId="1" applyNumberFormat="1" applyFont="1" applyFill="1" applyBorder="1" applyProtection="1">
      <protection locked="0"/>
    </xf>
    <xf numFmtId="3" fontId="0" fillId="6" borderId="34" xfId="1" applyNumberFormat="1" applyFont="1" applyFill="1" applyBorder="1" applyProtection="1">
      <protection locked="0"/>
    </xf>
    <xf numFmtId="3" fontId="0" fillId="6" borderId="35" xfId="1" applyNumberFormat="1" applyFont="1" applyFill="1" applyBorder="1" applyProtection="1">
      <protection locked="0"/>
    </xf>
    <xf numFmtId="3" fontId="0" fillId="6" borderId="33" xfId="1" applyNumberFormat="1" applyFont="1" applyFill="1" applyBorder="1" applyProtection="1">
      <protection locked="0"/>
    </xf>
    <xf numFmtId="9" fontId="0" fillId="6" borderId="53" xfId="1" applyNumberFormat="1" applyFont="1" applyFill="1" applyBorder="1" applyProtection="1">
      <protection locked="0"/>
    </xf>
    <xf numFmtId="9" fontId="0" fillId="6" borderId="38" xfId="1" applyNumberFormat="1" applyFont="1" applyFill="1" applyBorder="1" applyProtection="1">
      <protection locked="0"/>
    </xf>
    <xf numFmtId="9" fontId="0" fillId="6" borderId="25" xfId="1" applyNumberFormat="1" applyFont="1" applyFill="1" applyBorder="1" applyProtection="1">
      <protection locked="0"/>
    </xf>
    <xf numFmtId="9" fontId="0" fillId="6" borderId="54" xfId="1" applyNumberFormat="1" applyFont="1" applyFill="1" applyBorder="1" applyProtection="1">
      <protection locked="0"/>
    </xf>
    <xf numFmtId="9" fontId="0" fillId="6" borderId="39" xfId="1" applyNumberFormat="1" applyFont="1" applyFill="1" applyBorder="1" applyProtection="1">
      <protection locked="0"/>
    </xf>
    <xf numFmtId="9" fontId="0" fillId="6" borderId="31" xfId="1" applyNumberFormat="1" applyFont="1" applyFill="1" applyBorder="1" applyProtection="1">
      <protection locked="0"/>
    </xf>
    <xf numFmtId="3" fontId="0" fillId="6" borderId="53" xfId="1" applyNumberFormat="1" applyFont="1" applyFill="1" applyBorder="1" applyProtection="1">
      <protection locked="0"/>
    </xf>
    <xf numFmtId="3" fontId="0" fillId="6" borderId="25" xfId="1" applyNumberFormat="1" applyFont="1" applyFill="1" applyBorder="1" applyProtection="1">
      <protection locked="0"/>
    </xf>
    <xf numFmtId="3" fontId="0" fillId="6" borderId="54" xfId="1" applyNumberFormat="1" applyFont="1" applyFill="1" applyBorder="1" applyProtection="1">
      <protection locked="0"/>
    </xf>
    <xf numFmtId="3" fontId="0" fillId="6" borderId="31" xfId="1" applyNumberFormat="1" applyFont="1" applyFill="1" applyBorder="1" applyProtection="1">
      <protection locked="0"/>
    </xf>
    <xf numFmtId="3" fontId="0" fillId="6" borderId="24" xfId="0" applyNumberFormat="1" applyFont="1" applyFill="1" applyBorder="1" applyProtection="1">
      <protection locked="0"/>
    </xf>
    <xf numFmtId="3" fontId="0" fillId="6" borderId="25" xfId="0" applyNumberFormat="1" applyFont="1" applyFill="1" applyBorder="1" applyProtection="1">
      <protection locked="0"/>
    </xf>
    <xf numFmtId="3" fontId="0" fillId="6" borderId="26" xfId="0" applyNumberFormat="1" applyFont="1" applyFill="1" applyBorder="1" applyProtection="1">
      <protection locked="0"/>
    </xf>
    <xf numFmtId="3" fontId="0" fillId="6" borderId="53" xfId="0" applyNumberFormat="1" applyFont="1" applyFill="1" applyBorder="1" applyProtection="1">
      <protection locked="0"/>
    </xf>
    <xf numFmtId="3" fontId="0" fillId="6" borderId="38" xfId="0" applyNumberFormat="1" applyFont="1" applyFill="1" applyBorder="1" applyProtection="1">
      <protection locked="0"/>
    </xf>
    <xf numFmtId="3" fontId="0" fillId="6" borderId="29" xfId="0" applyNumberFormat="1" applyFont="1" applyFill="1" applyBorder="1" applyProtection="1">
      <protection locked="0"/>
    </xf>
    <xf numFmtId="3" fontId="1" fillId="7" borderId="27" xfId="1" applyNumberFormat="1" applyFont="1" applyFill="1" applyBorder="1" applyProtection="1">
      <protection locked="0"/>
    </xf>
    <xf numFmtId="3" fontId="1" fillId="6" borderId="28" xfId="1" applyNumberFormat="1" applyFont="1" applyFill="1" applyBorder="1" applyProtection="1">
      <protection locked="0"/>
    </xf>
    <xf numFmtId="3" fontId="1" fillId="6" borderId="29" xfId="1" applyNumberFormat="1" applyFont="1" applyFill="1" applyBorder="1" applyProtection="1">
      <protection locked="0"/>
    </xf>
    <xf numFmtId="3" fontId="1" fillId="6" borderId="27" xfId="1" applyNumberFormat="1" applyFont="1" applyFill="1" applyBorder="1" applyProtection="1">
      <protection locked="0"/>
    </xf>
    <xf numFmtId="3" fontId="0" fillId="6" borderId="45" xfId="0" applyNumberFormat="1" applyFont="1" applyFill="1" applyBorder="1" applyProtection="1">
      <protection locked="0"/>
    </xf>
    <xf numFmtId="3" fontId="0" fillId="6" borderId="46" xfId="0" applyNumberFormat="1" applyFont="1" applyFill="1" applyBorder="1" applyProtection="1">
      <protection locked="0"/>
    </xf>
    <xf numFmtId="3" fontId="0" fillId="6" borderId="47" xfId="0" applyNumberFormat="1" applyFont="1" applyFill="1" applyBorder="1" applyProtection="1">
      <protection locked="0"/>
    </xf>
    <xf numFmtId="3" fontId="0" fillId="6" borderId="56" xfId="0" applyNumberFormat="1" applyFont="1" applyFill="1" applyBorder="1" applyProtection="1">
      <protection locked="0"/>
    </xf>
    <xf numFmtId="3" fontId="0" fillId="6" borderId="50" xfId="0" applyNumberFormat="1" applyFont="1" applyFill="1" applyBorder="1" applyProtection="1">
      <protection locked="0"/>
    </xf>
    <xf numFmtId="3" fontId="0" fillId="6" borderId="44" xfId="0" applyNumberFormat="1" applyFont="1" applyFill="1" applyBorder="1" applyProtection="1">
      <protection locked="0"/>
    </xf>
    <xf numFmtId="3" fontId="1" fillId="7" borderId="48" xfId="1" applyNumberFormat="1" applyFont="1" applyFill="1" applyBorder="1" applyProtection="1">
      <protection locked="0"/>
    </xf>
    <xf numFmtId="3" fontId="1" fillId="6" borderId="49" xfId="1" applyNumberFormat="1" applyFont="1" applyFill="1" applyBorder="1" applyProtection="1">
      <protection locked="0"/>
    </xf>
    <xf numFmtId="3" fontId="1" fillId="6" borderId="44" xfId="1" applyNumberFormat="1" applyFont="1" applyFill="1" applyBorder="1" applyProtection="1">
      <protection locked="0"/>
    </xf>
    <xf numFmtId="3" fontId="1" fillId="6" borderId="48" xfId="1" applyNumberFormat="1" applyFont="1" applyFill="1" applyBorder="1" applyProtection="1">
      <protection locked="0"/>
    </xf>
    <xf numFmtId="3" fontId="0" fillId="6" borderId="30" xfId="0" applyNumberFormat="1" applyFont="1" applyFill="1" applyBorder="1" applyProtection="1">
      <protection locked="0"/>
    </xf>
    <xf numFmtId="3" fontId="0" fillId="6" borderId="31" xfId="0" applyNumberFormat="1" applyFont="1" applyFill="1" applyBorder="1" applyProtection="1">
      <protection locked="0"/>
    </xf>
    <xf numFmtId="3" fontId="0" fillId="6" borderId="32" xfId="0" applyNumberFormat="1" applyFont="1" applyFill="1" applyBorder="1" applyProtection="1">
      <protection locked="0"/>
    </xf>
    <xf numFmtId="3" fontId="0" fillId="6" borderId="54" xfId="0" applyNumberFormat="1" applyFont="1" applyFill="1" applyBorder="1" applyProtection="1">
      <protection locked="0"/>
    </xf>
    <xf numFmtId="3" fontId="0" fillId="6" borderId="39" xfId="0" applyNumberFormat="1" applyFont="1" applyFill="1" applyBorder="1" applyProtection="1">
      <protection locked="0"/>
    </xf>
    <xf numFmtId="3" fontId="0" fillId="6" borderId="35" xfId="0" applyNumberFormat="1" applyFont="1" applyFill="1" applyBorder="1" applyProtection="1">
      <protection locked="0"/>
    </xf>
    <xf numFmtId="3" fontId="1" fillId="7" borderId="33" xfId="1" applyNumberFormat="1" applyFont="1" applyFill="1" applyBorder="1" applyProtection="1">
      <protection locked="0"/>
    </xf>
    <xf numFmtId="3" fontId="1" fillId="6" borderId="34" xfId="1" applyNumberFormat="1" applyFont="1" applyFill="1" applyBorder="1" applyProtection="1">
      <protection locked="0"/>
    </xf>
    <xf numFmtId="3" fontId="1" fillId="6" borderId="35" xfId="1" applyNumberFormat="1" applyFont="1" applyFill="1" applyBorder="1" applyProtection="1">
      <protection locked="0"/>
    </xf>
    <xf numFmtId="3" fontId="1" fillId="6" borderId="33" xfId="1" applyNumberFormat="1" applyFont="1" applyFill="1" applyBorder="1" applyProtection="1">
      <protection locked="0"/>
    </xf>
    <xf numFmtId="9" fontId="1" fillId="6" borderId="53" xfId="1" applyNumberFormat="1" applyFont="1" applyFill="1" applyBorder="1" applyProtection="1">
      <protection locked="0"/>
    </xf>
    <xf numFmtId="9" fontId="1" fillId="6" borderId="38" xfId="1" applyNumberFormat="1" applyFont="1" applyFill="1" applyBorder="1" applyProtection="1">
      <protection locked="0"/>
    </xf>
    <xf numFmtId="9" fontId="1" fillId="6" borderId="25" xfId="1" applyNumberFormat="1" applyFont="1" applyFill="1" applyBorder="1" applyProtection="1">
      <protection locked="0"/>
    </xf>
    <xf numFmtId="9" fontId="1" fillId="6" borderId="56" xfId="1" applyNumberFormat="1" applyFont="1" applyFill="1" applyBorder="1" applyProtection="1">
      <protection locked="0"/>
    </xf>
    <xf numFmtId="9" fontId="1" fillId="6" borderId="50" xfId="1" applyNumberFormat="1" applyFont="1" applyFill="1" applyBorder="1" applyProtection="1">
      <protection locked="0"/>
    </xf>
    <xf numFmtId="9" fontId="1" fillId="6" borderId="46" xfId="1" applyNumberFormat="1" applyFont="1" applyFill="1" applyBorder="1" applyProtection="1">
      <protection locked="0"/>
    </xf>
    <xf numFmtId="9" fontId="1" fillId="6" borderId="54" xfId="1" applyNumberFormat="1" applyFont="1" applyFill="1" applyBorder="1" applyProtection="1">
      <protection locked="0"/>
    </xf>
    <xf numFmtId="9" fontId="1" fillId="6" borderId="39" xfId="1" applyNumberFormat="1" applyFont="1" applyFill="1" applyBorder="1" applyProtection="1">
      <protection locked="0"/>
    </xf>
    <xf numFmtId="9" fontId="1" fillId="6" borderId="31" xfId="1" applyNumberFormat="1" applyFont="1" applyFill="1" applyBorder="1" applyProtection="1">
      <protection locked="0"/>
    </xf>
    <xf numFmtId="3" fontId="1" fillId="6" borderId="53" xfId="1" applyNumberFormat="1" applyFont="1" applyFill="1" applyBorder="1" applyProtection="1">
      <protection locked="0"/>
    </xf>
    <xf numFmtId="3" fontId="1" fillId="6" borderId="25" xfId="1" applyNumberFormat="1" applyFont="1" applyFill="1" applyBorder="1" applyProtection="1">
      <protection locked="0"/>
    </xf>
    <xf numFmtId="3" fontId="1" fillId="6" borderId="56" xfId="1" applyNumberFormat="1" applyFont="1" applyFill="1" applyBorder="1" applyProtection="1">
      <protection locked="0"/>
    </xf>
    <xf numFmtId="3" fontId="1" fillId="6" borderId="46" xfId="1" applyNumberFormat="1" applyFont="1" applyFill="1" applyBorder="1" applyProtection="1">
      <protection locked="0"/>
    </xf>
    <xf numFmtId="3" fontId="1" fillId="6" borderId="54" xfId="1" applyNumberFormat="1" applyFont="1" applyFill="1" applyBorder="1" applyProtection="1">
      <protection locked="0"/>
    </xf>
    <xf numFmtId="3" fontId="1" fillId="6" borderId="31" xfId="1" applyNumberFormat="1" applyFont="1" applyFill="1" applyBorder="1" applyProtection="1">
      <protection locked="0"/>
    </xf>
    <xf numFmtId="3" fontId="0" fillId="6" borderId="40" xfId="0" applyNumberFormat="1" applyFill="1" applyBorder="1" applyProtection="1">
      <protection locked="0"/>
    </xf>
    <xf numFmtId="3" fontId="2" fillId="6" borderId="37" xfId="0" applyNumberFormat="1" applyFont="1" applyFill="1" applyBorder="1" applyProtection="1">
      <protection locked="0"/>
    </xf>
    <xf numFmtId="3" fontId="0" fillId="6" borderId="57" xfId="0" applyNumberFormat="1" applyFill="1" applyBorder="1" applyProtection="1">
      <protection locked="0"/>
    </xf>
    <xf numFmtId="3" fontId="0" fillId="6" borderId="37" xfId="0" applyNumberFormat="1" applyFill="1" applyBorder="1" applyProtection="1">
      <protection locked="0"/>
    </xf>
    <xf numFmtId="3" fontId="0" fillId="6" borderId="61" xfId="0" applyNumberFormat="1" applyFill="1" applyBorder="1" applyProtection="1">
      <protection locked="0"/>
    </xf>
    <xf numFmtId="3" fontId="0" fillId="7" borderId="23" xfId="1" applyNumberFormat="1" applyFont="1" applyFill="1" applyBorder="1" applyProtection="1">
      <protection locked="0"/>
    </xf>
    <xf numFmtId="3" fontId="0" fillId="6" borderId="37" xfId="1" applyNumberFormat="1" applyFont="1" applyFill="1" applyBorder="1" applyProtection="1">
      <protection locked="0"/>
    </xf>
    <xf numFmtId="3" fontId="0" fillId="6" borderId="23" xfId="1" applyNumberFormat="1" applyFont="1" applyFill="1" applyBorder="1" applyProtection="1">
      <protection locked="0"/>
    </xf>
    <xf numFmtId="9" fontId="0" fillId="6" borderId="40" xfId="1" applyNumberFormat="1" applyFont="1" applyFill="1" applyBorder="1" applyProtection="1">
      <protection locked="0"/>
    </xf>
    <xf numFmtId="9" fontId="0" fillId="6" borderId="37" xfId="1" applyNumberFormat="1" applyFont="1" applyFill="1" applyBorder="1" applyProtection="1">
      <protection locked="0"/>
    </xf>
    <xf numFmtId="9" fontId="0" fillId="6" borderId="36" xfId="1" applyNumberFormat="1" applyFont="1" applyFill="1" applyBorder="1" applyProtection="1">
      <protection locked="0"/>
    </xf>
    <xf numFmtId="3" fontId="0" fillId="6" borderId="40" xfId="1" applyNumberFormat="1" applyFont="1" applyFill="1" applyBorder="1" applyProtection="1">
      <protection locked="0"/>
    </xf>
    <xf numFmtId="3" fontId="0" fillId="6" borderId="36" xfId="1" applyNumberFormat="1" applyFont="1" applyFill="1" applyBorder="1" applyProtection="1">
      <protection locked="0"/>
    </xf>
    <xf numFmtId="0" fontId="2" fillId="3" borderId="0" xfId="0" applyFont="1" applyFill="1" applyBorder="1" applyAlignment="1" applyProtection="1">
      <alignment horizontal="left" vertical="center"/>
      <protection locked="0"/>
    </xf>
    <xf numFmtId="3" fontId="0" fillId="6" borderId="53" xfId="0" applyNumberFormat="1" applyFill="1" applyBorder="1" applyAlignment="1" applyProtection="1">
      <alignment horizontal="center"/>
      <protection locked="0"/>
    </xf>
    <xf numFmtId="3" fontId="0" fillId="6" borderId="29" xfId="0" applyNumberFormat="1" applyFill="1" applyBorder="1" applyAlignment="1" applyProtection="1">
      <alignment horizontal="center"/>
      <protection locked="0"/>
    </xf>
    <xf numFmtId="3" fontId="0" fillId="6" borderId="25" xfId="0" applyNumberFormat="1" applyFill="1" applyBorder="1" applyAlignment="1" applyProtection="1">
      <alignment horizontal="center"/>
      <protection locked="0"/>
    </xf>
    <xf numFmtId="3" fontId="0" fillId="6" borderId="54" xfId="0" applyNumberFormat="1" applyFill="1" applyBorder="1" applyAlignment="1" applyProtection="1">
      <alignment horizontal="center"/>
      <protection locked="0"/>
    </xf>
    <xf numFmtId="3" fontId="0" fillId="6" borderId="35" xfId="0" applyNumberFormat="1" applyFill="1" applyBorder="1" applyAlignment="1" applyProtection="1">
      <alignment horizontal="center"/>
      <protection locked="0"/>
    </xf>
    <xf numFmtId="3" fontId="0" fillId="6" borderId="31" xfId="0" applyNumberFormat="1" applyFill="1" applyBorder="1" applyAlignment="1" applyProtection="1">
      <alignment horizontal="center"/>
      <protection locked="0"/>
    </xf>
    <xf numFmtId="3" fontId="0" fillId="6" borderId="53" xfId="0" applyNumberFormat="1" applyFont="1" applyFill="1" applyBorder="1" applyAlignment="1" applyProtection="1">
      <alignment horizontal="center"/>
      <protection locked="0"/>
    </xf>
    <xf numFmtId="3" fontId="0" fillId="6" borderId="29" xfId="0" applyNumberFormat="1" applyFont="1" applyFill="1" applyBorder="1" applyAlignment="1" applyProtection="1">
      <alignment horizontal="center"/>
      <protection locked="0"/>
    </xf>
    <xf numFmtId="3" fontId="0" fillId="6" borderId="25" xfId="0" applyNumberFormat="1" applyFont="1" applyFill="1" applyBorder="1" applyAlignment="1" applyProtection="1">
      <alignment horizontal="center"/>
      <protection locked="0"/>
    </xf>
    <xf numFmtId="3" fontId="0" fillId="6" borderId="56" xfId="0" applyNumberFormat="1" applyFont="1" applyFill="1" applyBorder="1" applyAlignment="1" applyProtection="1">
      <alignment horizontal="center"/>
      <protection locked="0"/>
    </xf>
    <xf numFmtId="3" fontId="0" fillId="6" borderId="44" xfId="0" applyNumberFormat="1" applyFont="1" applyFill="1" applyBorder="1" applyAlignment="1" applyProtection="1">
      <alignment horizontal="center"/>
      <protection locked="0"/>
    </xf>
    <xf numFmtId="3" fontId="0" fillId="6" borderId="46" xfId="0" applyNumberFormat="1" applyFont="1" applyFill="1" applyBorder="1" applyAlignment="1" applyProtection="1">
      <alignment horizontal="center"/>
      <protection locked="0"/>
    </xf>
    <xf numFmtId="3" fontId="0" fillId="6" borderId="54" xfId="0" applyNumberFormat="1" applyFont="1" applyFill="1" applyBorder="1" applyAlignment="1" applyProtection="1">
      <alignment horizontal="center"/>
      <protection locked="0"/>
    </xf>
    <xf numFmtId="3" fontId="0" fillId="6" borderId="35" xfId="0" applyNumberFormat="1" applyFont="1" applyFill="1" applyBorder="1" applyAlignment="1" applyProtection="1">
      <alignment horizontal="center"/>
      <protection locked="0"/>
    </xf>
    <xf numFmtId="3" fontId="0" fillId="6" borderId="31" xfId="0" applyNumberFormat="1" applyFont="1" applyFill="1" applyBorder="1" applyAlignment="1" applyProtection="1">
      <alignment horizontal="center"/>
      <protection locked="0"/>
    </xf>
    <xf numFmtId="3" fontId="0" fillId="6" borderId="40" xfId="0" applyNumberFormat="1" applyFill="1" applyBorder="1" applyAlignment="1" applyProtection="1">
      <alignment horizontal="center"/>
      <protection locked="0"/>
    </xf>
    <xf numFmtId="3" fontId="0" fillId="6" borderId="37" xfId="0" applyNumberFormat="1" applyFill="1" applyBorder="1" applyAlignment="1" applyProtection="1">
      <alignment horizontal="center"/>
      <protection locked="0"/>
    </xf>
    <xf numFmtId="3" fontId="2" fillId="6" borderId="37" xfId="0" applyNumberFormat="1" applyFont="1" applyFill="1" applyBorder="1" applyAlignment="1" applyProtection="1">
      <alignment horizontal="center"/>
      <protection locked="0"/>
    </xf>
    <xf numFmtId="0" fontId="0" fillId="4" borderId="1" xfId="0" applyFont="1" applyFill="1" applyBorder="1" applyAlignment="1" applyProtection="1">
      <alignment horizontal="center" vertical="center"/>
      <protection locked="0"/>
    </xf>
    <xf numFmtId="49" fontId="4" fillId="0" borderId="29" xfId="0" applyNumberFormat="1" applyFont="1" applyFill="1" applyBorder="1" applyAlignment="1" applyProtection="1">
      <alignment horizontal="center"/>
      <protection locked="0"/>
    </xf>
    <xf numFmtId="49" fontId="4" fillId="0" borderId="44" xfId="0" applyNumberFormat="1" applyFont="1" applyFill="1" applyBorder="1" applyAlignment="1" applyProtection="1">
      <alignment horizontal="center"/>
      <protection locked="0"/>
    </xf>
    <xf numFmtId="49" fontId="4" fillId="0" borderId="35" xfId="0" applyNumberFormat="1" applyFont="1" applyFill="1" applyBorder="1" applyAlignment="1" applyProtection="1">
      <alignment horizontal="center"/>
      <protection locked="0"/>
    </xf>
    <xf numFmtId="37" fontId="0" fillId="0" borderId="67" xfId="0" applyNumberFormat="1" applyFill="1" applyBorder="1" applyAlignment="1" applyProtection="1">
      <alignment horizontal="center"/>
      <protection locked="0"/>
    </xf>
    <xf numFmtId="37" fontId="0" fillId="0" borderId="68" xfId="0" applyNumberFormat="1" applyFill="1" applyBorder="1" applyAlignment="1" applyProtection="1">
      <alignment horizontal="center"/>
      <protection locked="0"/>
    </xf>
    <xf numFmtId="37" fontId="0" fillId="0" borderId="69" xfId="0" applyNumberFormat="1" applyFill="1" applyBorder="1" applyAlignment="1" applyProtection="1">
      <alignment horizontal="center"/>
      <protection locked="0"/>
    </xf>
    <xf numFmtId="37" fontId="0" fillId="0" borderId="56" xfId="0" applyNumberFormat="1" applyFill="1" applyBorder="1" applyAlignment="1" applyProtection="1">
      <alignment horizontal="center"/>
      <protection locked="0"/>
    </xf>
    <xf numFmtId="37" fontId="0" fillId="0" borderId="50" xfId="0" applyNumberFormat="1" applyFill="1" applyBorder="1" applyAlignment="1" applyProtection="1">
      <alignment horizontal="center"/>
      <protection locked="0"/>
    </xf>
    <xf numFmtId="37" fontId="0" fillId="0" borderId="46" xfId="0" applyNumberFormat="1" applyFill="1" applyBorder="1" applyAlignment="1" applyProtection="1">
      <alignment horizontal="center"/>
      <protection locked="0"/>
    </xf>
    <xf numFmtId="37" fontId="0" fillId="0" borderId="70" xfId="0" applyNumberFormat="1" applyFill="1" applyBorder="1" applyAlignment="1" applyProtection="1">
      <alignment horizontal="center"/>
      <protection locked="0"/>
    </xf>
    <xf numFmtId="37" fontId="0" fillId="0" borderId="71" xfId="0" applyNumberFormat="1" applyFill="1" applyBorder="1" applyAlignment="1" applyProtection="1">
      <alignment horizontal="center"/>
      <protection locked="0"/>
    </xf>
    <xf numFmtId="37" fontId="0" fillId="0" borderId="72" xfId="0" applyNumberFormat="1" applyFill="1" applyBorder="1" applyAlignment="1" applyProtection="1">
      <alignment horizontal="center"/>
      <protection locked="0"/>
    </xf>
    <xf numFmtId="37" fontId="0" fillId="2" borderId="69" xfId="0" applyNumberFormat="1" applyFill="1" applyBorder="1" applyAlignment="1" applyProtection="1">
      <alignment horizontal="center"/>
      <protection locked="0"/>
    </xf>
    <xf numFmtId="37" fontId="0" fillId="0" borderId="73" xfId="0" applyNumberFormat="1" applyFill="1" applyBorder="1" applyAlignment="1" applyProtection="1">
      <alignment horizontal="center"/>
      <protection locked="0"/>
    </xf>
    <xf numFmtId="37" fontId="0" fillId="2" borderId="46" xfId="0" applyNumberFormat="1" applyFill="1" applyBorder="1" applyAlignment="1" applyProtection="1">
      <alignment horizontal="center"/>
      <protection locked="0"/>
    </xf>
    <xf numFmtId="37" fontId="0" fillId="0" borderId="48" xfId="0" applyNumberFormat="1" applyFill="1" applyBorder="1" applyAlignment="1" applyProtection="1">
      <alignment horizontal="center"/>
      <protection locked="0"/>
    </xf>
    <xf numFmtId="37" fontId="0" fillId="2" borderId="72" xfId="0" applyNumberFormat="1" applyFill="1" applyBorder="1" applyAlignment="1" applyProtection="1">
      <alignment horizontal="center"/>
      <protection locked="0"/>
    </xf>
    <xf numFmtId="37" fontId="0" fillId="0" borderId="74" xfId="0" applyNumberFormat="1" applyFill="1" applyBorder="1" applyAlignment="1" applyProtection="1">
      <alignment horizontal="center"/>
      <protection locked="0"/>
    </xf>
    <xf numFmtId="49" fontId="4" fillId="0" borderId="75" xfId="0" applyNumberFormat="1" applyFont="1" applyFill="1" applyBorder="1" applyAlignment="1" applyProtection="1">
      <alignment horizontal="center"/>
      <protection locked="0"/>
    </xf>
    <xf numFmtId="37" fontId="0" fillId="0" borderId="86" xfId="0" applyNumberFormat="1" applyFill="1" applyBorder="1" applyAlignment="1" applyProtection="1">
      <alignment horizontal="center"/>
      <protection locked="0"/>
    </xf>
    <xf numFmtId="37" fontId="0" fillId="0" borderId="87" xfId="0" applyNumberFormat="1" applyFill="1" applyBorder="1" applyAlignment="1" applyProtection="1">
      <alignment horizontal="center"/>
      <protection locked="0"/>
    </xf>
    <xf numFmtId="37" fontId="0" fillId="0" borderId="88" xfId="0" applyNumberFormat="1" applyFill="1" applyBorder="1" applyAlignment="1" applyProtection="1">
      <alignment horizontal="center"/>
      <protection locked="0"/>
    </xf>
    <xf numFmtId="37" fontId="0" fillId="2" borderId="88" xfId="0" applyNumberFormat="1" applyFill="1" applyBorder="1" applyAlignment="1" applyProtection="1">
      <alignment horizontal="center"/>
      <protection locked="0"/>
    </xf>
    <xf numFmtId="37" fontId="0" fillId="0" borderId="89" xfId="0" applyNumberFormat="1" applyFill="1" applyBorder="1" applyAlignment="1" applyProtection="1">
      <alignment horizontal="center"/>
      <protection locked="0"/>
    </xf>
    <xf numFmtId="49" fontId="5" fillId="0" borderId="63" xfId="0" applyNumberFormat="1" applyFont="1" applyFill="1" applyBorder="1" applyAlignment="1" applyProtection="1">
      <alignment horizontal="center"/>
      <protection locked="0"/>
    </xf>
    <xf numFmtId="49" fontId="4" fillId="0" borderId="90" xfId="0" applyNumberFormat="1" applyFont="1" applyFill="1" applyBorder="1" applyAlignment="1" applyProtection="1">
      <alignment horizontal="left" indent="2"/>
    </xf>
    <xf numFmtId="49" fontId="4" fillId="0" borderId="92" xfId="0" applyNumberFormat="1" applyFont="1" applyFill="1" applyBorder="1" applyAlignment="1" applyProtection="1">
      <alignment horizontal="center"/>
      <protection locked="0"/>
    </xf>
    <xf numFmtId="37" fontId="0" fillId="0" borderId="93" xfId="0" applyNumberFormat="1" applyFill="1" applyBorder="1" applyAlignment="1" applyProtection="1">
      <alignment horizontal="center"/>
      <protection locked="0"/>
    </xf>
    <xf numFmtId="37" fontId="0" fillId="0" borderId="90" xfId="0" applyNumberFormat="1" applyFill="1" applyBorder="1" applyAlignment="1" applyProtection="1">
      <alignment horizontal="center"/>
      <protection locked="0"/>
    </xf>
    <xf numFmtId="37" fontId="0" fillId="0" borderId="94" xfId="0" applyNumberFormat="1" applyFill="1" applyBorder="1" applyAlignment="1" applyProtection="1">
      <alignment horizontal="center"/>
      <protection locked="0"/>
    </xf>
    <xf numFmtId="37" fontId="0" fillId="2" borderId="94" xfId="0" applyNumberFormat="1" applyFill="1" applyBorder="1" applyAlignment="1" applyProtection="1">
      <alignment horizontal="center"/>
      <protection locked="0"/>
    </xf>
    <xf numFmtId="37" fontId="0" fillId="0" borderId="95" xfId="0" applyNumberFormat="1" applyFill="1" applyBorder="1" applyAlignment="1" applyProtection="1">
      <alignment horizontal="center"/>
      <protection locked="0"/>
    </xf>
    <xf numFmtId="168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3" fontId="2" fillId="0" borderId="16" xfId="1" applyFont="1" applyBorder="1" applyAlignment="1">
      <alignment horizontal="center"/>
    </xf>
    <xf numFmtId="43" fontId="2" fillId="0" borderId="17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43" fontId="2" fillId="0" borderId="13" xfId="1" applyFont="1" applyBorder="1" applyAlignment="1">
      <alignment horizontal="center"/>
    </xf>
    <xf numFmtId="43" fontId="2" fillId="0" borderId="14" xfId="1" applyFont="1" applyBorder="1" applyAlignment="1">
      <alignment horizontal="center"/>
    </xf>
    <xf numFmtId="43" fontId="2" fillId="0" borderId="15" xfId="1" applyFont="1" applyBorder="1" applyAlignment="1">
      <alignment horizontal="center"/>
    </xf>
    <xf numFmtId="43" fontId="2" fillId="0" borderId="12" xfId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3" fontId="2" fillId="0" borderId="14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0" fontId="2" fillId="8" borderId="66" xfId="0" applyFont="1" applyFill="1" applyBorder="1" applyAlignment="1">
      <alignment horizontal="center"/>
    </xf>
    <xf numFmtId="0" fontId="2" fillId="8" borderId="64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3" fontId="0" fillId="0" borderId="11" xfId="0" applyNumberFormat="1" applyFill="1" applyBorder="1" applyAlignment="1" applyProtection="1">
      <alignment horizontal="center" vertical="center"/>
    </xf>
    <xf numFmtId="3" fontId="0" fillId="0" borderId="13" xfId="0" applyNumberFormat="1" applyFill="1" applyBorder="1" applyAlignment="1" applyProtection="1">
      <alignment horizontal="center" vertical="center"/>
    </xf>
    <xf numFmtId="3" fontId="0" fillId="0" borderId="12" xfId="0" applyNumberForma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5" borderId="76" xfId="0" applyFont="1" applyFill="1" applyBorder="1" applyAlignment="1">
      <alignment horizontal="center"/>
    </xf>
    <xf numFmtId="0" fontId="2" fillId="5" borderId="77" xfId="0" applyFont="1" applyFill="1" applyBorder="1" applyAlignment="1">
      <alignment horizontal="center"/>
    </xf>
    <xf numFmtId="0" fontId="2" fillId="5" borderId="78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/>
    </xf>
    <xf numFmtId="0" fontId="2" fillId="0" borderId="63" xfId="0" applyFont="1" applyFill="1" applyBorder="1" applyAlignment="1">
      <alignment horizontal="center"/>
    </xf>
    <xf numFmtId="0" fontId="2" fillId="0" borderId="91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7" xfId="0" applyFont="1" applyBorder="1" applyAlignment="1">
      <alignment horizontal="left" vertical="center"/>
    </xf>
    <xf numFmtId="0" fontId="10" fillId="6" borderId="0" xfId="0" applyFont="1" applyFill="1" applyAlignment="1">
      <alignment horizontal="left"/>
    </xf>
    <xf numFmtId="0" fontId="2" fillId="0" borderId="62" xfId="0" applyFont="1" applyFill="1" applyBorder="1" applyAlignment="1">
      <alignment horizontal="center"/>
    </xf>
  </cellXfs>
  <cellStyles count="118">
    <cellStyle name=" " xfId="5"/>
    <cellStyle name="  -   -" xfId="6"/>
    <cellStyle name="          _x000d__x000a_386grabber=vga.3gr_x000d__x000a_" xfId="7"/>
    <cellStyle name=" _97연말" xfId="8"/>
    <cellStyle name=" _97연말1" xfId="9"/>
    <cellStyle name=" _Book1" xfId="10"/>
    <cellStyle name=" _옥내기기기초공설" xfId="11"/>
    <cellStyle name=" _품셈" xfId="12"/>
    <cellStyle name=" 1" xfId="13"/>
    <cellStyle name="?_x001d_??%U²u&amp;H²9_x0008_? " xfId="14"/>
    <cellStyle name="??A? [0]_laroux_1_¸???™? " xfId="15"/>
    <cellStyle name="??A?_laroux_1_¸???™? " xfId="16"/>
    <cellStyle name="?¡±¢¥?_?¨ù??¢´¢¥_¢¬???¢â? " xfId="17"/>
    <cellStyle name="?”´?_?¼??¤´_¸???™? " xfId="18"/>
    <cellStyle name="?珠??? " xfId="19"/>
    <cellStyle name="_Ras Laffan Painting " xfId="20"/>
    <cellStyle name="_공문 " xfId="21"/>
    <cellStyle name="_인원계획표 " xfId="22"/>
    <cellStyle name="_인원계획표 _암판정 요청-휴게소(7-20) " xfId="23"/>
    <cellStyle name="_인원계획표 _적격 " xfId="24"/>
    <cellStyle name="_입찰실행 품의완료(2004년2월10일) " xfId="25"/>
    <cellStyle name="_입찰표지 " xfId="26"/>
    <cellStyle name="_입찰표지 _암판정 요청-휴게소(7-20) " xfId="27"/>
    <cellStyle name="_적격 " xfId="28"/>
    <cellStyle name="_적격 _집행갑지 " xfId="29"/>
    <cellStyle name="_적격 _집행설계분석 " xfId="30"/>
    <cellStyle name="_적격(화산) " xfId="31"/>
    <cellStyle name="_적격(화산) _암판정 요청-휴게소(7-20) " xfId="32"/>
    <cellStyle name="_집행갑지 " xfId="33"/>
    <cellStyle name="_총괄공사대갑 " xfId="34"/>
    <cellStyle name="¤@?e_TEST-1 " xfId="35"/>
    <cellStyle name="°ia¤¼o " xfId="36"/>
    <cellStyle name="°ia¤aa " xfId="37"/>
    <cellStyle name="æØè [0.00]_NT Server " xfId="38"/>
    <cellStyle name="æØè_NT Server " xfId="39"/>
    <cellStyle name="ÊÝ [0.00]_NT Server " xfId="40"/>
    <cellStyle name="ÊÝ_NT Server " xfId="41"/>
    <cellStyle name="W?_½RmF¼° " xfId="42"/>
    <cellStyle name="20% - Accent1 2" xfId="106"/>
    <cellStyle name="20% - Accent2 2" xfId="108"/>
    <cellStyle name="20% - Accent3 2" xfId="110"/>
    <cellStyle name="20% - Accent4 2" xfId="112"/>
    <cellStyle name="20% - Accent5 2" xfId="114"/>
    <cellStyle name="20% - Accent6 2" xfId="116"/>
    <cellStyle name="၃urrency_OTD thru NOR " xfId="43"/>
    <cellStyle name="40% - Accent1 2" xfId="107"/>
    <cellStyle name="40% - Accent2 2" xfId="109"/>
    <cellStyle name="40% - Accent3 2" xfId="111"/>
    <cellStyle name="40% - Accent4 2" xfId="113"/>
    <cellStyle name="40% - Accent5 2" xfId="115"/>
    <cellStyle name="40% - Accent6 2" xfId="117"/>
    <cellStyle name="a [0]_OTD thru NOR " xfId="44"/>
    <cellStyle name="A¡ERER￠RER¡ER¡E?¡ERER¡ER￠R¡¿I¡ERERE¡ERER￠R¡×I¡ER¡§I¡EREREO [0]_¡ERER￠RER¡ER¡E?uoA￠RER¡ER￠R￠?Io￠RERER￠RER¡ER￠R￠?¡EREReE￠RER¡ER￠R￠?Io " xfId="45"/>
    <cellStyle name="A¡ERER￠RER¡ER¡E?¡ERER¡ER￠R¡¿I¡ERERE¡ERER￠R¡×I¡ER¡§I¡EREREO_¡ERER￠RER¡ER¡E?uoA￠RER¡ER￠R￠?Io￠RERER￠RER¡ER￠R￠?¡EREReE￠RER¡ER￠R￠?Io " xfId="46"/>
    <cellStyle name="A¨­￠￢￠O [0]_¨uoAa¨oCAu " xfId="47"/>
    <cellStyle name="A¨­¢¬¢Ò [0]_INQUIRY ¢¯¥ì¨ú¡ÀA©¬A©ª " xfId="48"/>
    <cellStyle name="A¨­￠￢￠O_¨uoAa¨oCAu " xfId="49"/>
    <cellStyle name="Aee­ " xfId="50"/>
    <cellStyle name="ÅëÈ­ [0]_      " xfId="51"/>
    <cellStyle name="AeE­ [0]_ 2ÆAAþº° " xfId="52"/>
    <cellStyle name="ÅëÈ­ [0]_INQUIRY ¿µ¾÷ÃßÁø " xfId="53"/>
    <cellStyle name="AeE­ [0]_INQUIRY ¿μ¾÷AßAø " xfId="54"/>
    <cellStyle name="ÅëÈ­_      " xfId="55"/>
    <cellStyle name="AeE­_ 2ÆAAþº° " xfId="56"/>
    <cellStyle name="ÅëÈ­_INQUIRY ¿µ¾÷ÃßÁø " xfId="57"/>
    <cellStyle name="AeE­_INQUIRY ¿μ¾÷AßAø " xfId="58"/>
    <cellStyle name="Aee¡© " xfId="59"/>
    <cellStyle name="AeE¡© [0]_INQUIRY ¢¯¥ì¨ú¡ÀA©¬A©ª " xfId="60"/>
    <cellStyle name="AeE¡©_INQUIRY ¢¯¥ì¨ú¡ÀA©¬A©ª " xfId="61"/>
    <cellStyle name="AeE¡ⓒ [0]_¨uoAa¨oCAu " xfId="62"/>
    <cellStyle name="AeE¡ⓒ_¨uoAa¨oCAu " xfId="63"/>
    <cellStyle name="AeE¡ERERER¡ERER￠RER¡ER¡E?I [0]_INQUIRY ￠RERERE?￠RERERIi￠RERER¡ERER￠RER￠RE?u¡ERERERAA¡ERER￠RER¡ER¡E?I￠RERER¡ER￠R¡¿I￠RER￠R¡×IA¡ERER￠RER¡ER¡E?I¡ERER￠RER¡ER¡E?¡ERERI " xfId="64"/>
    <cellStyle name="AeE¡ERERER¡ERER￠RER¡ER¡E?I_INQUIRY ￠RERERE?￠RERERIi￠RERER¡ERER￠RER￠RE?u¡ERERERAA¡ERER￠RER¡ER¡E?I￠RERER¡ER￠R¡¿I￠RER￠R¡×IA¡ERER￠RER¡ER¡E?I¡ERER￠RER¡ER¡E?¡ERERI " xfId="65"/>
    <cellStyle name="AeE¡_xde24__INQUIRY ￠?￥i¨u¡AAⓒ￢Aⓒª " xfId="66"/>
    <cellStyle name="AeE￠RERER￠RER¡ER￠R￠?I [0]_¡ERER￠RER¡ER¡E?uoA￠RER¡ER￠R￠?Io￠RERER￠RER¡ER￠R￠?¡EREReE￠RER¡ER￠R￠?Io " xfId="67"/>
    <cellStyle name="AeE￠RERER￠RER¡ER￠R￠?I_¡ERER￠RER¡ER¡E?uoA￠RER¡ER￠R￠?Io￠RERER￠RER¡ER￠R￠?¡EREReE￠RER¡ER￠R￠?Io " xfId="68"/>
    <cellStyle name="Æu¼ " xfId="69"/>
    <cellStyle name="ÄÞ¸¶ [0]_      " xfId="70"/>
    <cellStyle name="AÞ¸¶ [0]_ 2ÆAAþº° " xfId="71"/>
    <cellStyle name="ÄÞ¸¶_      " xfId="72"/>
    <cellStyle name="AÞ¸¶_ 2ÆAAþº° " xfId="73"/>
    <cellStyle name="Au¸r " xfId="74"/>
    <cellStyle name="Bridge " xfId="75"/>
    <cellStyle name="C?AØ_¿?¾÷CoE² " xfId="76"/>
    <cellStyle name="C¡ERERERIA￠RERER¡ERER￠RER￠RE?¡ERER￠RER¡ER¡E?¡ERERI_5-1¡ERERER¡ERER￠RER¡ER¡E?u￠RERERE¡ERERE¡ERERI¡ERERER¡ERER￠RER¡ER¡E?￠RERERi " xfId="77"/>
    <cellStyle name="C¡IA¨ª_¡ic¨u¡A¨￢I¨￢¡Æ AN¡Æe " xfId="78"/>
    <cellStyle name="C¡ÍA¨ª_¡íc¨ú¡À¨¬I¨¬¡Æ AN¡Æe " xfId="79"/>
    <cellStyle name="C￠RERERIA¡ERER￠RER¡ER¡E?￠RER¡ER￠R￠?￠RERI_¡ERER￠RER¡ER¡E?￠RERER?￠RERER￠RER¡ER￠R￠?ua3_p.mix " xfId="80"/>
    <cellStyle name="Ç¥ÁØ_      " xfId="81"/>
    <cellStyle name="C￥AØ_  FAB AIA¤  " xfId="82"/>
    <cellStyle name="Ç¥ÁØ_´ëºñÇ¥ (2)_1_ºÎ´ëÅä°ø " xfId="83"/>
    <cellStyle name="C￥AØ_´eºnC￥ (2)_ºI´eAa°ø " xfId="84"/>
    <cellStyle name="Ç¥ÁØ_´ëºñÇ¥ (2)_ºÎ´ëÅä°ø " xfId="85"/>
    <cellStyle name="C￥AØ_¸¶≫eCI¼oAIA§ " xfId="86"/>
    <cellStyle name="Ç¥ÁØ_¿µ¾÷ÇöÈ² " xfId="87"/>
    <cellStyle name="C￥AØ_¿uº°A¸≫c½CAu_³≫ºI°eE¹´e AßA¤A÷AI " xfId="88"/>
    <cellStyle name="Ç¥ÁØ_Ç°¼À(ÁöÀÔ) " xfId="89"/>
    <cellStyle name="C￥AØ_CoAa°u¸Rºn(Ao¹æ) " xfId="90"/>
    <cellStyle name="Ç¥ÁØ_FAX¾ç½Ä " xfId="91"/>
    <cellStyle name="C￥AØ_Sheet1_¿μ¾÷CoE² " xfId="92"/>
    <cellStyle name="Comma" xfId="1" builtinId="3"/>
    <cellStyle name="Comma 2" xfId="3"/>
    <cellStyle name="Curr㩠ncy_Sheet1_Q2_3월 실적 " xfId="93"/>
    <cellStyle name="Cuzrency [0]_ SG&amp;A Bridge " xfId="94"/>
    <cellStyle name="CกอAจช_ALT4-euip " xfId="95"/>
    <cellStyle name="Migliaia (0)_B O T " xfId="96"/>
    <cellStyle name="Migliaia_B O T " xfId="97"/>
    <cellStyle name="Normal" xfId="0" builtinId="0"/>
    <cellStyle name="Normal 2" xfId="4"/>
    <cellStyle name="Normal 3" xfId="2"/>
    <cellStyle name="_x0002_urrency [0]_ " xfId="98"/>
    <cellStyle name="똿떓죶Ø괻 [0.00]_NT Server " xfId="99"/>
    <cellStyle name="똿떓죶Ø괻_NT Server " xfId="100"/>
    <cellStyle name="묮뎋 [0.00]_NT Server " xfId="101"/>
    <cellStyle name="묮뎋_NT Server " xfId="102"/>
    <cellStyle name="백 " xfId="103"/>
    <cellStyle name="콤마_  종  합  " xfId="104"/>
    <cellStyle name="貨幣[0]_BLDG " xfId="105"/>
  </cellStyles>
  <dxfs count="3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VN_All/5.%20CostEstimation_V2/DRCOSTSV2_1743%20Bahr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Volume"/>
      <sheetName val="Soil Balance"/>
      <sheetName val="TenderInfo"/>
      <sheetName val="DataForm"/>
      <sheetName val="Equipment_CostEstimators"/>
      <sheetName val="Equipment_DredgingEstimators"/>
      <sheetName val="Equipment_Total"/>
      <sheetName val="BOQ"/>
      <sheetName val="List"/>
      <sheetName val="UR_KT12"/>
      <sheetName val="UR_UEZ12"/>
      <sheetName val="BOQ_Comparison"/>
      <sheetName val="UR_AS14"/>
      <sheetName val="Mob"/>
      <sheetName val="UR_AS12"/>
      <sheetName val="UR_KT14"/>
      <sheetName val="UR_UEZ14"/>
      <sheetName val="UR_Coastway"/>
      <sheetName val="UR_SandTax"/>
      <sheetName val="SB"/>
      <sheetName val="TP"/>
      <sheetName val="FP"/>
      <sheetName val="ProjectSpecificCosts"/>
      <sheetName val="SandTax"/>
      <sheetName val="Bund Production"/>
      <sheetName val="UR_Combined"/>
      <sheetName val="Durations"/>
      <sheetName val="Mob Overview"/>
      <sheetName val="CSDProductions"/>
      <sheetName val="CSD_Summary"/>
      <sheetName val="Utilization-CSD"/>
      <sheetName val="Utilization-TSHD"/>
      <sheetName val="Utilization-BHD"/>
      <sheetName val="WDT"/>
    </sheetNames>
    <sheetDataSet>
      <sheetData sheetId="0"/>
      <sheetData sheetId="1"/>
      <sheetData sheetId="2"/>
      <sheetData sheetId="3"/>
      <sheetData sheetId="4">
        <row r="27">
          <cell r="D27">
            <v>2201320.902041811</v>
          </cell>
          <cell r="E27">
            <v>724268.18371455674</v>
          </cell>
          <cell r="K27">
            <v>246881.80746652075</v>
          </cell>
          <cell r="M27">
            <v>324436.5966292629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 tint="0.59999389629810485"/>
    <pageSetUpPr fitToPage="1"/>
  </sheetPr>
  <dimension ref="A1:E7"/>
  <sheetViews>
    <sheetView tabSelected="1" zoomScaleNormal="100" workbookViewId="0">
      <selection activeCell="B15" sqref="B15"/>
    </sheetView>
  </sheetViews>
  <sheetFormatPr defaultRowHeight="14.4"/>
  <cols>
    <col min="1" max="1" width="49.33203125" customWidth="1"/>
    <col min="2" max="2" width="41.5546875" style="4" customWidth="1"/>
  </cols>
  <sheetData>
    <row r="1" spans="1:5">
      <c r="A1" s="357" t="s">
        <v>0</v>
      </c>
      <c r="B1" s="357"/>
    </row>
    <row r="3" spans="1:5">
      <c r="A3" s="358" t="s">
        <v>1</v>
      </c>
      <c r="B3" s="358"/>
    </row>
    <row r="4" spans="1:5">
      <c r="A4" s="2" t="s">
        <v>2</v>
      </c>
      <c r="B4" s="323" t="s">
        <v>1163</v>
      </c>
      <c r="C4" t="s">
        <v>1085</v>
      </c>
      <c r="E4" t="s">
        <v>1098</v>
      </c>
    </row>
    <row r="5" spans="1:5">
      <c r="A5" s="2" t="s">
        <v>25</v>
      </c>
      <c r="B5" s="323">
        <v>0</v>
      </c>
      <c r="C5" t="s">
        <v>26</v>
      </c>
      <c r="E5" s="146" t="s">
        <v>1099</v>
      </c>
    </row>
    <row r="7" spans="1:5">
      <c r="A7" s="213" t="s">
        <v>1097</v>
      </c>
    </row>
  </sheetData>
  <sheetProtection sheet="1" objects="1" scenarios="1"/>
  <mergeCells count="2">
    <mergeCell ref="A1:B1"/>
    <mergeCell ref="A3:B3"/>
  </mergeCells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6" tint="0.39997558519241921"/>
    <pageSetUpPr fitToPage="1"/>
  </sheetPr>
  <dimension ref="A1:AB42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P11" sqref="P11:P12"/>
    </sheetView>
  </sheetViews>
  <sheetFormatPr defaultRowHeight="14.4"/>
  <cols>
    <col min="1" max="1" width="15.109375" bestFit="1" customWidth="1"/>
    <col min="2" max="2" width="37" customWidth="1"/>
    <col min="3" max="3" width="11" bestFit="1" customWidth="1"/>
    <col min="4" max="4" width="11.88671875" bestFit="1" customWidth="1"/>
    <col min="5" max="5" width="11.5546875" customWidth="1"/>
    <col min="6" max="6" width="13.6640625" bestFit="1" customWidth="1"/>
    <col min="7" max="7" width="10.88671875" bestFit="1" customWidth="1"/>
    <col min="8" max="9" width="10.33203125" bestFit="1" customWidth="1"/>
    <col min="10" max="10" width="15" bestFit="1" customWidth="1"/>
    <col min="11" max="11" width="10" customWidth="1"/>
    <col min="12" max="12" width="0.33203125" customWidth="1"/>
    <col min="13" max="13" width="11.88671875" bestFit="1" customWidth="1"/>
    <col min="14" max="14" width="8.109375" bestFit="1" customWidth="1"/>
    <col min="15" max="15" width="10" bestFit="1" customWidth="1"/>
    <col min="16" max="16" width="16.6640625" customWidth="1"/>
    <col min="17" max="17" width="14.44140625" customWidth="1"/>
    <col min="18" max="18" width="14.6640625" bestFit="1" customWidth="1"/>
    <col min="19" max="19" width="19.88671875" bestFit="1" customWidth="1"/>
    <col min="20" max="20" width="15.6640625" bestFit="1" customWidth="1"/>
    <col min="21" max="21" width="15.5546875" customWidth="1"/>
    <col min="22" max="22" width="12.5546875" customWidth="1"/>
    <col min="23" max="23" width="11.5546875" customWidth="1"/>
    <col min="24" max="24" width="15.44140625" customWidth="1"/>
    <col min="26" max="26" width="16.5546875" customWidth="1"/>
    <col min="27" max="27" width="16.5546875" style="146" customWidth="1"/>
    <col min="28" max="28" width="25" customWidth="1"/>
  </cols>
  <sheetData>
    <row r="1" spans="1:28">
      <c r="A1" s="357" t="s">
        <v>0</v>
      </c>
      <c r="B1" s="357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8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8">
      <c r="A3" s="359" t="s">
        <v>7</v>
      </c>
      <c r="B3" s="360"/>
      <c r="C3" s="304" t="s">
        <v>1155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8">
      <c r="A4" s="2" t="s">
        <v>2</v>
      </c>
      <c r="B4" s="5"/>
      <c r="C4" s="304" t="s">
        <v>1154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8">
      <c r="A5" s="359" t="s">
        <v>8</v>
      </c>
      <c r="B5" s="360"/>
      <c r="C5" s="304" t="s">
        <v>1153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8">
      <c r="A6" s="359" t="s">
        <v>9</v>
      </c>
      <c r="B6" s="360"/>
      <c r="C6" s="30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S6" s="69"/>
    </row>
    <row r="7" spans="1:28" ht="15" thickBot="1">
      <c r="M7" s="3"/>
      <c r="N7" s="3"/>
      <c r="O7" s="3"/>
      <c r="P7" s="3"/>
    </row>
    <row r="8" spans="1:28" ht="16.5" customHeight="1" thickBot="1">
      <c r="A8" s="368" t="s">
        <v>423</v>
      </c>
      <c r="B8" s="60"/>
      <c r="C8" s="363" t="s">
        <v>100</v>
      </c>
      <c r="D8" s="364"/>
      <c r="E8" s="365" t="s">
        <v>10</v>
      </c>
      <c r="F8" s="363" t="s">
        <v>102</v>
      </c>
      <c r="G8" s="364"/>
      <c r="H8" s="364"/>
      <c r="I8" s="364"/>
      <c r="J8" s="364"/>
      <c r="K8" s="364"/>
      <c r="L8" s="367"/>
      <c r="M8" s="361" t="s">
        <v>103</v>
      </c>
      <c r="N8" s="362"/>
      <c r="O8" s="365" t="s">
        <v>104</v>
      </c>
      <c r="P8" s="365" t="s">
        <v>439</v>
      </c>
      <c r="Q8" s="365" t="s">
        <v>147</v>
      </c>
      <c r="R8" s="363" t="s">
        <v>150</v>
      </c>
      <c r="S8" s="364"/>
      <c r="T8" s="367"/>
      <c r="U8" s="370" t="s">
        <v>149</v>
      </c>
      <c r="V8" s="363" t="s">
        <v>151</v>
      </c>
      <c r="W8" s="364"/>
      <c r="X8" s="370" t="s">
        <v>152</v>
      </c>
      <c r="Z8" s="162" t="s">
        <v>464</v>
      </c>
      <c r="AA8" s="157" t="s">
        <v>465</v>
      </c>
      <c r="AB8" s="162" t="s">
        <v>4</v>
      </c>
    </row>
    <row r="9" spans="1:28" ht="15" thickBot="1">
      <c r="A9" s="369"/>
      <c r="B9" s="61" t="s">
        <v>11</v>
      </c>
      <c r="C9" s="9" t="s">
        <v>14</v>
      </c>
      <c r="D9" s="9" t="s">
        <v>101</v>
      </c>
      <c r="E9" s="366"/>
      <c r="F9" s="71" t="s">
        <v>415</v>
      </c>
      <c r="G9" s="71" t="s">
        <v>416</v>
      </c>
      <c r="H9" s="71" t="s">
        <v>419</v>
      </c>
      <c r="I9" s="71" t="s">
        <v>417</v>
      </c>
      <c r="J9" s="71" t="s">
        <v>418</v>
      </c>
      <c r="K9" s="73" t="s">
        <v>15</v>
      </c>
      <c r="L9" s="103" t="s">
        <v>420</v>
      </c>
      <c r="M9" s="9" t="s">
        <v>12</v>
      </c>
      <c r="N9" s="9" t="s">
        <v>13</v>
      </c>
      <c r="O9" s="366"/>
      <c r="P9" s="366"/>
      <c r="Q9" s="366"/>
      <c r="R9" s="70" t="s">
        <v>148</v>
      </c>
      <c r="S9" s="70" t="s">
        <v>5</v>
      </c>
      <c r="T9" s="70" t="s">
        <v>6</v>
      </c>
      <c r="U9" s="371"/>
      <c r="V9" s="70" t="s">
        <v>454</v>
      </c>
      <c r="W9" s="70" t="s">
        <v>455</v>
      </c>
      <c r="X9" s="371"/>
      <c r="Z9" s="9"/>
      <c r="AA9" s="9"/>
      <c r="AB9" s="9"/>
    </row>
    <row r="10" spans="1:28">
      <c r="A10" s="58" t="s">
        <v>107</v>
      </c>
      <c r="B10" s="59" t="s">
        <v>105</v>
      </c>
      <c r="C10" s="50">
        <f t="shared" ref="C10:P10" si="0">C11+C12</f>
        <v>913433.09999999986</v>
      </c>
      <c r="D10" s="51">
        <f t="shared" si="0"/>
        <v>556550.61714285705</v>
      </c>
      <c r="E10" s="52">
        <f t="shared" si="0"/>
        <v>1361099.02480512</v>
      </c>
      <c r="F10" s="87">
        <f>F11+F12</f>
        <v>76038.552238246892</v>
      </c>
      <c r="G10" s="88">
        <f>G11+G12</f>
        <v>0</v>
      </c>
      <c r="H10" s="88">
        <f t="shared" ref="H10:J10" si="1">H11+H12</f>
        <v>0</v>
      </c>
      <c r="I10" s="88">
        <f t="shared" si="1"/>
        <v>0</v>
      </c>
      <c r="J10" s="88">
        <f t="shared" si="1"/>
        <v>0</v>
      </c>
      <c r="K10" s="99">
        <f>K11+K12</f>
        <v>189463.41233888001</v>
      </c>
      <c r="L10" s="55">
        <f t="shared" si="0"/>
        <v>0</v>
      </c>
      <c r="M10" s="53">
        <f t="shared" si="0"/>
        <v>337402.75486756756</v>
      </c>
      <c r="N10" s="54">
        <f t="shared" si="0"/>
        <v>719850.80108138523</v>
      </c>
      <c r="O10" s="55">
        <f t="shared" si="0"/>
        <v>2411989.1439682543</v>
      </c>
      <c r="P10" s="55">
        <f t="shared" si="0"/>
        <v>549999.81610360893</v>
      </c>
      <c r="Q10" s="55">
        <f>C10+D10+E10+F10+G10+H10+I10+J10+K10+M10+N10+O10+P10</f>
        <v>7115827.2225459199</v>
      </c>
      <c r="R10" s="74"/>
      <c r="S10" s="94"/>
      <c r="T10" s="75"/>
      <c r="U10" s="55">
        <f>U11+U12</f>
        <v>8938173.2185637765</v>
      </c>
      <c r="V10" s="74"/>
      <c r="W10" s="75"/>
      <c r="X10" s="55">
        <f>X11+X12</f>
        <v>8938173.2185637765</v>
      </c>
      <c r="Z10" s="163"/>
      <c r="AA10" s="164"/>
      <c r="AB10" s="165"/>
    </row>
    <row r="11" spans="1:28">
      <c r="A11" s="17" t="s">
        <v>16</v>
      </c>
      <c r="B11" s="11" t="s">
        <v>17</v>
      </c>
      <c r="C11" s="216">
        <v>565050.89999999991</v>
      </c>
      <c r="D11" s="217">
        <v>291308.83428571426</v>
      </c>
      <c r="E11" s="218">
        <v>831312.11190143996</v>
      </c>
      <c r="F11" s="219">
        <v>45623.131342948131</v>
      </c>
      <c r="G11" s="220">
        <v>0</v>
      </c>
      <c r="H11" s="220">
        <v>0</v>
      </c>
      <c r="I11" s="220">
        <v>0</v>
      </c>
      <c r="J11" s="220">
        <v>0</v>
      </c>
      <c r="K11" s="221">
        <v>113678.047403328</v>
      </c>
      <c r="L11" s="222"/>
      <c r="M11" s="223">
        <v>209495.73292054053</v>
      </c>
      <c r="N11" s="224">
        <v>457963.24864883116</v>
      </c>
      <c r="O11" s="225">
        <v>2079666.6063809525</v>
      </c>
      <c r="P11" s="225">
        <f>240946.089662165+125000</f>
        <v>365946.08966216503</v>
      </c>
      <c r="Q11" s="62">
        <f>C11+D11+E11+F11+G11+H11+I11+J11+K11+M11+N11+O11+P11</f>
        <v>4960044.7025459195</v>
      </c>
      <c r="R11" s="236">
        <v>0.03</v>
      </c>
      <c r="S11" s="237">
        <v>0.08</v>
      </c>
      <c r="T11" s="238">
        <v>0.1</v>
      </c>
      <c r="U11" s="62">
        <f>((1+R11)/(1-S11-T11))*Q11</f>
        <v>6230300.0531979231</v>
      </c>
      <c r="V11" s="242">
        <v>0</v>
      </c>
      <c r="W11" s="243"/>
      <c r="X11" s="62">
        <f>U11+V11+W11</f>
        <v>6230300.0531979231</v>
      </c>
      <c r="Z11" s="305"/>
      <c r="AA11" s="306"/>
      <c r="AB11" s="307"/>
    </row>
    <row r="12" spans="1:28">
      <c r="A12" s="18" t="s">
        <v>108</v>
      </c>
      <c r="B12" s="13" t="s">
        <v>18</v>
      </c>
      <c r="C12" s="226">
        <v>348382.19999999995</v>
      </c>
      <c r="D12" s="227">
        <v>265241.78285714285</v>
      </c>
      <c r="E12" s="228">
        <v>529786.91290368</v>
      </c>
      <c r="F12" s="229">
        <v>30415.420895298757</v>
      </c>
      <c r="G12" s="230">
        <v>0</v>
      </c>
      <c r="H12" s="230">
        <v>0</v>
      </c>
      <c r="I12" s="230">
        <v>0</v>
      </c>
      <c r="J12" s="230">
        <v>0</v>
      </c>
      <c r="K12" s="231">
        <v>75785.364935552003</v>
      </c>
      <c r="L12" s="232"/>
      <c r="M12" s="233">
        <v>127907.02194702702</v>
      </c>
      <c r="N12" s="234">
        <v>261887.55243255413</v>
      </c>
      <c r="O12" s="235">
        <v>332322.53758730163</v>
      </c>
      <c r="P12" s="235">
        <v>184053.7264414439</v>
      </c>
      <c r="Q12" s="63">
        <f>C12+D12+E12+F12+G12+H12+I12+J12+K12+M12+N12+O12+P12</f>
        <v>2155782.52</v>
      </c>
      <c r="R12" s="239">
        <v>0.03</v>
      </c>
      <c r="S12" s="240">
        <v>0.08</v>
      </c>
      <c r="T12" s="241">
        <v>0.1</v>
      </c>
      <c r="U12" s="63">
        <f>((1+R12)/(1-S12-T12))*Q12</f>
        <v>2707873.1653658538</v>
      </c>
      <c r="V12" s="244">
        <v>0</v>
      </c>
      <c r="W12" s="245"/>
      <c r="X12" s="62">
        <f>U12+V12+W12</f>
        <v>2707873.1653658538</v>
      </c>
      <c r="Z12" s="308"/>
      <c r="AA12" s="309"/>
      <c r="AB12" s="310"/>
    </row>
    <row r="13" spans="1:28">
      <c r="A13" s="6"/>
      <c r="B13" s="10"/>
      <c r="C13" s="37"/>
      <c r="D13" s="38"/>
      <c r="E13" s="39"/>
      <c r="F13" s="89"/>
      <c r="G13" s="90"/>
      <c r="H13" s="90"/>
      <c r="I13" s="90"/>
      <c r="J13" s="90"/>
      <c r="K13" s="100"/>
      <c r="L13" s="40"/>
      <c r="M13" s="35"/>
      <c r="N13" s="36"/>
      <c r="O13" s="40"/>
      <c r="P13" s="40"/>
      <c r="Q13" s="40"/>
      <c r="R13" s="76"/>
      <c r="S13" s="95"/>
      <c r="T13" s="77"/>
      <c r="U13" s="40"/>
      <c r="V13" s="82"/>
      <c r="W13" s="83"/>
      <c r="X13" s="40"/>
      <c r="Z13" s="166"/>
      <c r="AA13" s="167"/>
      <c r="AB13" s="168"/>
    </row>
    <row r="14" spans="1:28">
      <c r="A14" s="56" t="s">
        <v>109</v>
      </c>
      <c r="B14" s="57" t="s">
        <v>106</v>
      </c>
      <c r="C14" s="46">
        <f t="shared" ref="C14:P14" si="2">C15+C19</f>
        <v>42558.48</v>
      </c>
      <c r="D14" s="47">
        <f t="shared" si="2"/>
        <v>1951164</v>
      </c>
      <c r="E14" s="85">
        <f t="shared" si="2"/>
        <v>479155.20644904958</v>
      </c>
      <c r="F14" s="46">
        <f t="shared" si="2"/>
        <v>0</v>
      </c>
      <c r="G14" s="47">
        <f t="shared" si="2"/>
        <v>0</v>
      </c>
      <c r="H14" s="47">
        <f t="shared" si="2"/>
        <v>0</v>
      </c>
      <c r="I14" s="47">
        <f t="shared" si="2"/>
        <v>0</v>
      </c>
      <c r="J14" s="47">
        <f t="shared" si="2"/>
        <v>800</v>
      </c>
      <c r="K14" s="47">
        <f t="shared" si="2"/>
        <v>1134550</v>
      </c>
      <c r="L14" s="49">
        <f t="shared" si="2"/>
        <v>0</v>
      </c>
      <c r="M14" s="46">
        <f t="shared" si="2"/>
        <v>425175.70092783537</v>
      </c>
      <c r="N14" s="48">
        <f t="shared" si="2"/>
        <v>7322503.0110309497</v>
      </c>
      <c r="O14" s="49">
        <f t="shared" si="2"/>
        <v>3989034.24</v>
      </c>
      <c r="P14" s="49">
        <f t="shared" si="2"/>
        <v>399517</v>
      </c>
      <c r="Q14" s="49">
        <f>C14+D14+E14+F14+G14+H14+I14+J14+K14+M14+N14+O14+P14</f>
        <v>15744457.638407836</v>
      </c>
      <c r="R14" s="78"/>
      <c r="S14" s="96"/>
      <c r="T14" s="79"/>
      <c r="U14" s="49">
        <f>U15+U19</f>
        <v>19776574.838487886</v>
      </c>
      <c r="V14" s="153"/>
      <c r="W14" s="154"/>
      <c r="X14" s="49">
        <f>X15+X19</f>
        <v>19776574.838487886</v>
      </c>
      <c r="Z14" s="169"/>
      <c r="AA14" s="170"/>
      <c r="AB14" s="170"/>
    </row>
    <row r="15" spans="1:28">
      <c r="A15" s="56" t="s">
        <v>19</v>
      </c>
      <c r="B15" s="57" t="s">
        <v>111</v>
      </c>
      <c r="C15" s="46">
        <f>C16+C17+C18</f>
        <v>42558.48</v>
      </c>
      <c r="D15" s="47">
        <f t="shared" ref="D15:P15" si="3">D16+D17+D18</f>
        <v>363816</v>
      </c>
      <c r="E15" s="85">
        <f t="shared" si="3"/>
        <v>86760.966449049607</v>
      </c>
      <c r="F15" s="46">
        <f t="shared" si="3"/>
        <v>0</v>
      </c>
      <c r="G15" s="47">
        <f t="shared" si="3"/>
        <v>0</v>
      </c>
      <c r="H15" s="47">
        <f t="shared" si="3"/>
        <v>0</v>
      </c>
      <c r="I15" s="47">
        <f t="shared" si="3"/>
        <v>0</v>
      </c>
      <c r="J15" s="47">
        <f t="shared" si="3"/>
        <v>800</v>
      </c>
      <c r="K15" s="47">
        <f t="shared" si="3"/>
        <v>423700</v>
      </c>
      <c r="L15" s="49">
        <f t="shared" si="3"/>
        <v>0</v>
      </c>
      <c r="M15" s="46">
        <f t="shared" si="3"/>
        <v>43157.919999999998</v>
      </c>
      <c r="N15" s="48">
        <f t="shared" si="3"/>
        <v>212613.36</v>
      </c>
      <c r="O15" s="49">
        <f t="shared" si="3"/>
        <v>3339942.24</v>
      </c>
      <c r="P15" s="49">
        <f t="shared" si="3"/>
        <v>121000</v>
      </c>
      <c r="Q15" s="49">
        <f>C15+D15+E15+F15+G15+H15+I15+J15+K15+M15+N15+O15+P15</f>
        <v>4634348.9664490502</v>
      </c>
      <c r="R15" s="78"/>
      <c r="S15" s="96"/>
      <c r="T15" s="79"/>
      <c r="U15" s="49">
        <f>U16+U17+U18</f>
        <v>5821194.4334664885</v>
      </c>
      <c r="V15" s="153"/>
      <c r="W15" s="154"/>
      <c r="X15" s="49">
        <f>X16+X17+X18</f>
        <v>5821194.4334664885</v>
      </c>
      <c r="Z15" s="169"/>
      <c r="AA15" s="170"/>
      <c r="AB15" s="170"/>
    </row>
    <row r="16" spans="1:28">
      <c r="A16" s="21" t="s">
        <v>20</v>
      </c>
      <c r="B16" s="22" t="s">
        <v>441</v>
      </c>
      <c r="C16" s="246">
        <v>0</v>
      </c>
      <c r="D16" s="247">
        <v>363816</v>
      </c>
      <c r="E16" s="248">
        <v>86695.250880000007</v>
      </c>
      <c r="F16" s="249">
        <v>0</v>
      </c>
      <c r="G16" s="250">
        <v>0</v>
      </c>
      <c r="H16" s="250">
        <v>0</v>
      </c>
      <c r="I16" s="250">
        <v>0</v>
      </c>
      <c r="J16" s="250">
        <v>800</v>
      </c>
      <c r="K16" s="251">
        <v>398700</v>
      </c>
      <c r="L16" s="252"/>
      <c r="M16" s="253">
        <v>28168</v>
      </c>
      <c r="N16" s="254">
        <v>0</v>
      </c>
      <c r="O16" s="255">
        <v>3337380</v>
      </c>
      <c r="P16" s="255">
        <v>21000</v>
      </c>
      <c r="Q16" s="65">
        <f>C16+D16+E16+F16+G16+H16+I16+J16+K16+M16+N16+O16+P16</f>
        <v>4236559.2508800002</v>
      </c>
      <c r="R16" s="276">
        <v>0.03</v>
      </c>
      <c r="S16" s="277">
        <v>0.08</v>
      </c>
      <c r="T16" s="278">
        <v>0.1</v>
      </c>
      <c r="U16" s="64">
        <f>((1+R16)/(1-S16-T16))*Q16</f>
        <v>5321531.7419590242</v>
      </c>
      <c r="V16" s="285">
        <v>0</v>
      </c>
      <c r="W16" s="286"/>
      <c r="X16" s="64">
        <f>U16+V16+W16</f>
        <v>5321531.7419590242</v>
      </c>
      <c r="Z16" s="311"/>
      <c r="AA16" s="312"/>
      <c r="AB16" s="313"/>
    </row>
    <row r="17" spans="1:28">
      <c r="A17" s="23" t="s">
        <v>22</v>
      </c>
      <c r="B17" s="24" t="s">
        <v>442</v>
      </c>
      <c r="C17" s="256">
        <v>42558.48</v>
      </c>
      <c r="D17" s="257">
        <v>0</v>
      </c>
      <c r="E17" s="258">
        <v>65.715569049600035</v>
      </c>
      <c r="F17" s="259">
        <v>0</v>
      </c>
      <c r="G17" s="260">
        <v>0</v>
      </c>
      <c r="H17" s="260">
        <v>0</v>
      </c>
      <c r="I17" s="260">
        <v>0</v>
      </c>
      <c r="J17" s="260">
        <v>0</v>
      </c>
      <c r="K17" s="261">
        <v>25000</v>
      </c>
      <c r="L17" s="262"/>
      <c r="M17" s="263">
        <v>14989.919999999998</v>
      </c>
      <c r="N17" s="264">
        <v>212613.36</v>
      </c>
      <c r="O17" s="265">
        <v>2562.2399999999998</v>
      </c>
      <c r="P17" s="265">
        <v>100000</v>
      </c>
      <c r="Q17" s="65">
        <f t="shared" ref="Q17:Q18" si="4">C17+D17+E17+F17+G17+H17+I17+J17+K17+M17+N17+O17+P17</f>
        <v>397789.71556904959</v>
      </c>
      <c r="R17" s="279">
        <v>0.03</v>
      </c>
      <c r="S17" s="280">
        <v>0.08</v>
      </c>
      <c r="T17" s="281">
        <v>0.1</v>
      </c>
      <c r="U17" s="65">
        <f>((1+R17)/(1-S17-T17))*Q17</f>
        <v>499662.69150746474</v>
      </c>
      <c r="V17" s="287">
        <v>0</v>
      </c>
      <c r="W17" s="288"/>
      <c r="X17" s="64">
        <f t="shared" ref="X17:X18" si="5">U17+V17+W17</f>
        <v>499662.69150746474</v>
      </c>
      <c r="Z17" s="314"/>
      <c r="AA17" s="315"/>
      <c r="AB17" s="316"/>
    </row>
    <row r="18" spans="1:28">
      <c r="A18" s="25" t="s">
        <v>23</v>
      </c>
      <c r="B18" s="26" t="s">
        <v>113</v>
      </c>
      <c r="C18" s="266">
        <v>0</v>
      </c>
      <c r="D18" s="267">
        <v>0</v>
      </c>
      <c r="E18" s="268">
        <v>0</v>
      </c>
      <c r="F18" s="269">
        <v>0</v>
      </c>
      <c r="G18" s="270">
        <v>0</v>
      </c>
      <c r="H18" s="270">
        <v>0</v>
      </c>
      <c r="I18" s="270">
        <v>0</v>
      </c>
      <c r="J18" s="270">
        <v>0</v>
      </c>
      <c r="K18" s="271">
        <v>0</v>
      </c>
      <c r="L18" s="272"/>
      <c r="M18" s="273">
        <v>0</v>
      </c>
      <c r="N18" s="274">
        <v>0</v>
      </c>
      <c r="O18" s="275">
        <v>0</v>
      </c>
      <c r="P18" s="275">
        <v>0</v>
      </c>
      <c r="Q18" s="66">
        <f t="shared" si="4"/>
        <v>0</v>
      </c>
      <c r="R18" s="282"/>
      <c r="S18" s="283"/>
      <c r="T18" s="284"/>
      <c r="U18" s="66">
        <f>((1+R18)/(1-S18-T18))*Q18</f>
        <v>0</v>
      </c>
      <c r="V18" s="289"/>
      <c r="W18" s="290"/>
      <c r="X18" s="64">
        <f t="shared" si="5"/>
        <v>0</v>
      </c>
      <c r="Z18" s="317"/>
      <c r="AA18" s="318"/>
      <c r="AB18" s="319"/>
    </row>
    <row r="19" spans="1:28">
      <c r="A19" s="56" t="s">
        <v>110</v>
      </c>
      <c r="B19" s="57" t="s">
        <v>112</v>
      </c>
      <c r="C19" s="46">
        <f>C20+C21+C22+C23</f>
        <v>0</v>
      </c>
      <c r="D19" s="47">
        <f t="shared" ref="D19:P19" si="6">D20+D21+D22+D23</f>
        <v>1587348</v>
      </c>
      <c r="E19" s="85">
        <f t="shared" si="6"/>
        <v>392394.23999999999</v>
      </c>
      <c r="F19" s="46">
        <f t="shared" si="6"/>
        <v>0</v>
      </c>
      <c r="G19" s="47">
        <f t="shared" si="6"/>
        <v>0</v>
      </c>
      <c r="H19" s="47">
        <f t="shared" si="6"/>
        <v>0</v>
      </c>
      <c r="I19" s="47">
        <f t="shared" si="6"/>
        <v>0</v>
      </c>
      <c r="J19" s="47">
        <f t="shared" si="6"/>
        <v>0</v>
      </c>
      <c r="K19" s="101">
        <f t="shared" si="6"/>
        <v>710850</v>
      </c>
      <c r="L19" s="49">
        <f t="shared" si="6"/>
        <v>0</v>
      </c>
      <c r="M19" s="46">
        <f t="shared" si="6"/>
        <v>382017.78092783538</v>
      </c>
      <c r="N19" s="48">
        <f t="shared" si="6"/>
        <v>7109889.6510309493</v>
      </c>
      <c r="O19" s="49">
        <f t="shared" si="6"/>
        <v>649092</v>
      </c>
      <c r="P19" s="49">
        <f t="shared" si="6"/>
        <v>278517</v>
      </c>
      <c r="Q19" s="49">
        <f>C19+D19+E19+F19+G19+H19+I19+J19+K19+M19+N19+O19+P19</f>
        <v>11110108.671958786</v>
      </c>
      <c r="R19" s="78"/>
      <c r="S19" s="96"/>
      <c r="T19" s="79"/>
      <c r="U19" s="49">
        <f>U20+U21+U22+U23</f>
        <v>13955380.405021399</v>
      </c>
      <c r="V19" s="153"/>
      <c r="W19" s="154"/>
      <c r="X19" s="49">
        <f>X20+X21+X22+X23</f>
        <v>13955380.405021399</v>
      </c>
      <c r="Z19" s="169"/>
      <c r="AA19" s="170"/>
      <c r="AB19" s="170"/>
    </row>
    <row r="20" spans="1:28">
      <c r="A20" s="27" t="s">
        <v>118</v>
      </c>
      <c r="B20" s="28" t="s">
        <v>114</v>
      </c>
      <c r="C20" s="246">
        <v>0</v>
      </c>
      <c r="D20" s="247">
        <v>0</v>
      </c>
      <c r="E20" s="248">
        <v>0</v>
      </c>
      <c r="F20" s="249">
        <v>0</v>
      </c>
      <c r="G20" s="250">
        <v>0</v>
      </c>
      <c r="H20" s="250">
        <v>0</v>
      </c>
      <c r="I20" s="250">
        <v>0</v>
      </c>
      <c r="J20" s="250">
        <v>0</v>
      </c>
      <c r="K20" s="251">
        <v>0</v>
      </c>
      <c r="L20" s="252"/>
      <c r="M20" s="253">
        <v>382017.78092783538</v>
      </c>
      <c r="N20" s="254">
        <v>7109889.6510309493</v>
      </c>
      <c r="O20" s="255">
        <v>0</v>
      </c>
      <c r="P20" s="255">
        <v>0</v>
      </c>
      <c r="Q20" s="64">
        <f>C20+D20+E20+F20+G20+H20+I20+J20+K20+M20+N20+O20+P20</f>
        <v>7491907.4319587843</v>
      </c>
      <c r="R20" s="276">
        <v>0.03</v>
      </c>
      <c r="S20" s="277">
        <v>0.08</v>
      </c>
      <c r="T20" s="278">
        <v>0.1</v>
      </c>
      <c r="U20" s="64">
        <f>((1+R20)/(1-S20-T20))*Q20</f>
        <v>9410566.6523384731</v>
      </c>
      <c r="V20" s="285">
        <v>0</v>
      </c>
      <c r="W20" s="286"/>
      <c r="X20" s="64">
        <f>U20+V20+W20</f>
        <v>9410566.6523384731</v>
      </c>
      <c r="Z20" s="311"/>
      <c r="AA20" s="312"/>
      <c r="AB20" s="313"/>
    </row>
    <row r="21" spans="1:28">
      <c r="A21" s="29" t="s">
        <v>119</v>
      </c>
      <c r="B21" s="30" t="s">
        <v>115</v>
      </c>
      <c r="C21" s="256">
        <v>0</v>
      </c>
      <c r="D21" s="257">
        <v>1587348</v>
      </c>
      <c r="E21" s="258">
        <v>392394.23999999999</v>
      </c>
      <c r="F21" s="259">
        <v>0</v>
      </c>
      <c r="G21" s="260">
        <v>0</v>
      </c>
      <c r="H21" s="260">
        <v>0</v>
      </c>
      <c r="I21" s="260">
        <v>0</v>
      </c>
      <c r="J21" s="260">
        <v>0</v>
      </c>
      <c r="K21" s="261">
        <v>0</v>
      </c>
      <c r="L21" s="262"/>
      <c r="M21" s="263">
        <v>0</v>
      </c>
      <c r="N21" s="264">
        <v>0</v>
      </c>
      <c r="O21" s="265">
        <v>9000</v>
      </c>
      <c r="P21" s="265">
        <v>0</v>
      </c>
      <c r="Q21" s="65">
        <f t="shared" ref="Q21:Q23" si="7">C21+D21+E21+F21+G21+H21+I21+J21+K21+M21+N21+O21+P21</f>
        <v>1988742.24</v>
      </c>
      <c r="R21" s="279">
        <v>0.03</v>
      </c>
      <c r="S21" s="280">
        <v>0.08</v>
      </c>
      <c r="T21" s="281">
        <v>0.1</v>
      </c>
      <c r="U21" s="65">
        <f>((1+R21)/(1-S21-T21))*Q21</f>
        <v>2498054.2770731705</v>
      </c>
      <c r="V21" s="287">
        <v>0</v>
      </c>
      <c r="W21" s="288"/>
      <c r="X21" s="64">
        <f t="shared" ref="X21:X23" si="8">U21+V21+W21</f>
        <v>2498054.2770731705</v>
      </c>
      <c r="Z21" s="314"/>
      <c r="AA21" s="315"/>
      <c r="AB21" s="316"/>
    </row>
    <row r="22" spans="1:28">
      <c r="A22" s="29" t="s">
        <v>120</v>
      </c>
      <c r="B22" s="30" t="s">
        <v>116</v>
      </c>
      <c r="C22" s="256">
        <v>0</v>
      </c>
      <c r="D22" s="257">
        <v>0</v>
      </c>
      <c r="E22" s="258">
        <v>0</v>
      </c>
      <c r="F22" s="259">
        <v>0</v>
      </c>
      <c r="G22" s="260">
        <v>0</v>
      </c>
      <c r="H22" s="260">
        <v>0</v>
      </c>
      <c r="I22" s="260">
        <v>0</v>
      </c>
      <c r="J22" s="260">
        <v>0</v>
      </c>
      <c r="K22" s="261">
        <v>0</v>
      </c>
      <c r="L22" s="262"/>
      <c r="M22" s="263">
        <v>0</v>
      </c>
      <c r="N22" s="264">
        <v>0</v>
      </c>
      <c r="O22" s="265">
        <v>640092</v>
      </c>
      <c r="P22" s="265">
        <v>0</v>
      </c>
      <c r="Q22" s="65">
        <f t="shared" si="7"/>
        <v>640092</v>
      </c>
      <c r="R22" s="279">
        <v>0.03</v>
      </c>
      <c r="S22" s="280">
        <v>0.08</v>
      </c>
      <c r="T22" s="281">
        <v>0.1</v>
      </c>
      <c r="U22" s="65">
        <f>((1+R22)/(1-S22-T22))*Q22</f>
        <v>804018</v>
      </c>
      <c r="V22" s="287">
        <v>0</v>
      </c>
      <c r="W22" s="288"/>
      <c r="X22" s="64">
        <f t="shared" si="8"/>
        <v>804018</v>
      </c>
      <c r="Z22" s="314"/>
      <c r="AA22" s="315"/>
      <c r="AB22" s="316"/>
    </row>
    <row r="23" spans="1:28">
      <c r="A23" s="25" t="s">
        <v>121</v>
      </c>
      <c r="B23" s="31" t="s">
        <v>117</v>
      </c>
      <c r="C23" s="266">
        <v>0</v>
      </c>
      <c r="D23" s="267">
        <v>0</v>
      </c>
      <c r="E23" s="268">
        <v>0</v>
      </c>
      <c r="F23" s="269">
        <v>0</v>
      </c>
      <c r="G23" s="270">
        <v>0</v>
      </c>
      <c r="H23" s="270">
        <v>0</v>
      </c>
      <c r="I23" s="270">
        <v>0</v>
      </c>
      <c r="J23" s="270">
        <v>0</v>
      </c>
      <c r="K23" s="271">
        <v>710850</v>
      </c>
      <c r="L23" s="272"/>
      <c r="M23" s="273">
        <v>0</v>
      </c>
      <c r="N23" s="274">
        <v>0</v>
      </c>
      <c r="O23" s="275">
        <v>0</v>
      </c>
      <c r="P23" s="275">
        <v>278517</v>
      </c>
      <c r="Q23" s="65">
        <f t="shared" si="7"/>
        <v>989367</v>
      </c>
      <c r="R23" s="282">
        <v>0.03</v>
      </c>
      <c r="S23" s="283">
        <v>0.08</v>
      </c>
      <c r="T23" s="284">
        <v>0.1</v>
      </c>
      <c r="U23" s="66">
        <f>((1+R23)/(1-S23-T23))*Q23</f>
        <v>1242741.4756097561</v>
      </c>
      <c r="V23" s="289">
        <v>0</v>
      </c>
      <c r="W23" s="290"/>
      <c r="X23" s="64">
        <f t="shared" si="8"/>
        <v>1242741.4756097561</v>
      </c>
      <c r="Z23" s="317"/>
      <c r="AA23" s="318"/>
      <c r="AB23" s="319"/>
    </row>
    <row r="24" spans="1:28">
      <c r="A24" s="7"/>
      <c r="C24" s="41"/>
      <c r="D24" s="42"/>
      <c r="E24" s="34"/>
      <c r="F24" s="91"/>
      <c r="G24" s="92"/>
      <c r="H24" s="92"/>
      <c r="I24" s="92"/>
      <c r="J24" s="92"/>
      <c r="K24" s="102"/>
      <c r="L24" s="45"/>
      <c r="M24" s="43"/>
      <c r="N24" s="44"/>
      <c r="O24" s="45"/>
      <c r="P24" s="45"/>
      <c r="Q24" s="45"/>
      <c r="R24" s="80"/>
      <c r="S24" s="97"/>
      <c r="T24" s="81"/>
      <c r="U24" s="45"/>
      <c r="V24" s="155"/>
      <c r="W24" s="156"/>
      <c r="X24" s="45"/>
      <c r="Z24" s="171"/>
      <c r="AA24" s="172"/>
      <c r="AB24" s="173"/>
    </row>
    <row r="25" spans="1:28">
      <c r="A25" s="56" t="s">
        <v>122</v>
      </c>
      <c r="B25" s="57" t="s">
        <v>123</v>
      </c>
      <c r="C25" s="46">
        <f>C26+C27+C28+C29+C30+C31+C32+C33+C34</f>
        <v>7356327.4814824397</v>
      </c>
      <c r="D25" s="47">
        <f t="shared" ref="D25:P25" si="9">D26+D27+D28+D29+D30+D31+D32+D33+D34</f>
        <v>9624904.3717839364</v>
      </c>
      <c r="E25" s="85">
        <f t="shared" si="9"/>
        <v>8786749.8266285285</v>
      </c>
      <c r="F25" s="46">
        <f t="shared" si="9"/>
        <v>1169229.0315203902</v>
      </c>
      <c r="G25" s="47">
        <f t="shared" si="9"/>
        <v>124966.10060901164</v>
      </c>
      <c r="H25" s="47">
        <f t="shared" si="9"/>
        <v>594704.97523219814</v>
      </c>
      <c r="I25" s="47">
        <f t="shared" si="9"/>
        <v>11517887.94980609</v>
      </c>
      <c r="J25" s="47">
        <f t="shared" si="9"/>
        <v>2292676.3403467494</v>
      </c>
      <c r="K25" s="101">
        <f t="shared" si="9"/>
        <v>5298994.1319653448</v>
      </c>
      <c r="L25" s="49">
        <f t="shared" si="9"/>
        <v>0</v>
      </c>
      <c r="M25" s="46">
        <f t="shared" si="9"/>
        <v>4109540.0903922734</v>
      </c>
      <c r="N25" s="48">
        <f t="shared" si="9"/>
        <v>3453185.431352023</v>
      </c>
      <c r="O25" s="49">
        <f t="shared" si="9"/>
        <v>19238225.214540254</v>
      </c>
      <c r="P25" s="49">
        <f t="shared" si="9"/>
        <v>3943093.4438707591</v>
      </c>
      <c r="Q25" s="49">
        <f>C25+D25+E25+F25+G25+H25+I25+J25+K25+M25+N25+O25+P25</f>
        <v>77510484.389530003</v>
      </c>
      <c r="R25" s="78"/>
      <c r="S25" s="96"/>
      <c r="T25" s="79"/>
      <c r="U25" s="49">
        <f>U26+U27+U28+U29+U30+U31+U32+U33+U34</f>
        <v>87999337.021305159</v>
      </c>
      <c r="V25" s="153"/>
      <c r="W25" s="154"/>
      <c r="X25" s="49">
        <f>X26+X27+X28+X29+X30+X31+X32+X33+X34</f>
        <v>87999337.021305159</v>
      </c>
      <c r="Z25" s="169"/>
      <c r="AA25" s="170"/>
      <c r="AB25" s="170"/>
    </row>
    <row r="26" spans="1:28">
      <c r="A26" s="17" t="s">
        <v>124</v>
      </c>
      <c r="B26" s="12" t="s">
        <v>133</v>
      </c>
      <c r="C26" s="246">
        <f>7481327.48148244-125000</f>
        <v>7356327.4814824397</v>
      </c>
      <c r="D26" s="247">
        <v>0</v>
      </c>
      <c r="E26" s="248">
        <v>5158218.2635340663</v>
      </c>
      <c r="F26" s="249">
        <v>0</v>
      </c>
      <c r="G26" s="250">
        <v>124966.10060901164</v>
      </c>
      <c r="H26" s="250">
        <v>0</v>
      </c>
      <c r="I26" s="250">
        <v>0</v>
      </c>
      <c r="J26" s="250">
        <v>0</v>
      </c>
      <c r="K26" s="251">
        <v>1032569.3908154666</v>
      </c>
      <c r="L26" s="252"/>
      <c r="M26" s="253">
        <v>1594757.369408601</v>
      </c>
      <c r="N26" s="254">
        <v>3167992.697922885</v>
      </c>
      <c r="O26" s="255">
        <v>18119180.904540256</v>
      </c>
      <c r="P26" s="255"/>
      <c r="Q26" s="64">
        <f>C26+D26+E26+F26+G26+H26+I26+J26+K26+M26+N26+O26+P26</f>
        <v>36554012.208312728</v>
      </c>
      <c r="R26" s="276"/>
      <c r="S26" s="277"/>
      <c r="T26" s="278"/>
      <c r="U26" s="64">
        <f t="shared" ref="U26:U34" si="10">((1+R26)/(1-S26-T26))*Q26</f>
        <v>36554012.208312728</v>
      </c>
      <c r="V26" s="285"/>
      <c r="W26" s="286"/>
      <c r="X26" s="64">
        <f>U26+V26+W26</f>
        <v>36554012.208312728</v>
      </c>
      <c r="Z26" s="311"/>
      <c r="AA26" s="312"/>
      <c r="AB26" s="313"/>
    </row>
    <row r="27" spans="1:28">
      <c r="A27" s="32" t="s">
        <v>125</v>
      </c>
      <c r="B27" s="33" t="s">
        <v>21</v>
      </c>
      <c r="C27" s="256">
        <v>0</v>
      </c>
      <c r="D27" s="257">
        <f>1862550.69957335+[1]DataForm!$D$27+131826.906885609</f>
        <v>4195698.5085007697</v>
      </c>
      <c r="E27" s="258">
        <f>1060136.33672609+[1]DataForm!$E$27</f>
        <v>1784404.5204406467</v>
      </c>
      <c r="F27" s="259">
        <v>1169229.0315203902</v>
      </c>
      <c r="G27" s="260">
        <v>0</v>
      </c>
      <c r="H27" s="260">
        <v>0</v>
      </c>
      <c r="I27" s="260">
        <v>0</v>
      </c>
      <c r="J27" s="260">
        <v>0</v>
      </c>
      <c r="K27" s="261">
        <f>2815890+[1]DataForm!$K$27</f>
        <v>3062771.8074665209</v>
      </c>
      <c r="L27" s="262"/>
      <c r="M27" s="263">
        <f>181189.285470484+[1]DataForm!$M$27</f>
        <v>505625.8820997469</v>
      </c>
      <c r="N27" s="264">
        <v>285192.73342913797</v>
      </c>
      <c r="O27" s="265">
        <v>594879.55999999994</v>
      </c>
      <c r="P27" s="265">
        <v>0</v>
      </c>
      <c r="Q27" s="65">
        <f t="shared" ref="Q27:Q34" si="11">C27+D27+E27+F27+G27+H27+I27+J27+K27+M27+N27+O27+P27</f>
        <v>11597802.043457212</v>
      </c>
      <c r="R27" s="279">
        <v>0.03</v>
      </c>
      <c r="S27" s="280">
        <v>0.08</v>
      </c>
      <c r="T27" s="281">
        <v>0.1</v>
      </c>
      <c r="U27" s="65">
        <f t="shared" si="10"/>
        <v>14567970.859464547</v>
      </c>
      <c r="V27" s="287"/>
      <c r="W27" s="288"/>
      <c r="X27" s="64">
        <f t="shared" ref="X27:X34" si="12">U27+V27+W27</f>
        <v>14567970.859464547</v>
      </c>
      <c r="Z27" s="314"/>
      <c r="AA27" s="315"/>
      <c r="AB27" s="316"/>
    </row>
    <row r="28" spans="1:28">
      <c r="A28" s="32" t="s">
        <v>126</v>
      </c>
      <c r="B28" s="33" t="s">
        <v>440</v>
      </c>
      <c r="C28" s="256">
        <v>0</v>
      </c>
      <c r="D28" s="257">
        <v>0</v>
      </c>
      <c r="E28" s="258">
        <v>0</v>
      </c>
      <c r="F28" s="259">
        <v>0</v>
      </c>
      <c r="G28" s="260">
        <v>0</v>
      </c>
      <c r="H28" s="260">
        <v>0</v>
      </c>
      <c r="I28" s="260">
        <v>0</v>
      </c>
      <c r="J28" s="260">
        <v>0</v>
      </c>
      <c r="K28" s="261">
        <v>0</v>
      </c>
      <c r="L28" s="262"/>
      <c r="M28" s="263">
        <v>0</v>
      </c>
      <c r="N28" s="264">
        <v>0</v>
      </c>
      <c r="O28" s="265">
        <v>0</v>
      </c>
      <c r="P28" s="265">
        <v>0</v>
      </c>
      <c r="Q28" s="65">
        <f t="shared" si="11"/>
        <v>0</v>
      </c>
      <c r="R28" s="279"/>
      <c r="S28" s="280"/>
      <c r="T28" s="281"/>
      <c r="U28" s="65">
        <f t="shared" si="10"/>
        <v>0</v>
      </c>
      <c r="V28" s="287"/>
      <c r="W28" s="288"/>
      <c r="X28" s="64">
        <f t="shared" si="12"/>
        <v>0</v>
      </c>
      <c r="Z28" s="314"/>
      <c r="AA28" s="315"/>
      <c r="AB28" s="316"/>
    </row>
    <row r="29" spans="1:28">
      <c r="A29" s="32" t="s">
        <v>127</v>
      </c>
      <c r="B29" s="33" t="s">
        <v>24</v>
      </c>
      <c r="C29" s="256">
        <v>0</v>
      </c>
      <c r="D29" s="257">
        <v>0</v>
      </c>
      <c r="E29" s="258">
        <v>0</v>
      </c>
      <c r="F29" s="259">
        <v>0</v>
      </c>
      <c r="G29" s="260">
        <v>0</v>
      </c>
      <c r="H29" s="260">
        <v>0</v>
      </c>
      <c r="I29" s="260">
        <v>0</v>
      </c>
      <c r="J29" s="260">
        <v>0</v>
      </c>
      <c r="K29" s="261">
        <v>0</v>
      </c>
      <c r="L29" s="262"/>
      <c r="M29" s="263">
        <v>0</v>
      </c>
      <c r="N29" s="264">
        <v>0</v>
      </c>
      <c r="O29" s="265">
        <v>0</v>
      </c>
      <c r="P29" s="265">
        <v>0</v>
      </c>
      <c r="Q29" s="65">
        <f t="shared" si="11"/>
        <v>0</v>
      </c>
      <c r="R29" s="279"/>
      <c r="S29" s="280"/>
      <c r="T29" s="281"/>
      <c r="U29" s="65">
        <f t="shared" si="10"/>
        <v>0</v>
      </c>
      <c r="V29" s="287"/>
      <c r="W29" s="288"/>
      <c r="X29" s="64">
        <f t="shared" si="12"/>
        <v>0</v>
      </c>
      <c r="Z29" s="314"/>
      <c r="AA29" s="315"/>
      <c r="AB29" s="316"/>
    </row>
    <row r="30" spans="1:28">
      <c r="A30" s="32" t="s">
        <v>128</v>
      </c>
      <c r="B30" s="33" t="s">
        <v>134</v>
      </c>
      <c r="C30" s="256">
        <v>0</v>
      </c>
      <c r="D30" s="257">
        <v>3689010.4644079562</v>
      </c>
      <c r="E30" s="258">
        <v>1528666.9154174761</v>
      </c>
      <c r="F30" s="259">
        <v>0</v>
      </c>
      <c r="G30" s="260">
        <v>0</v>
      </c>
      <c r="H30" s="260">
        <v>0</v>
      </c>
      <c r="I30" s="260">
        <v>11517887.94980609</v>
      </c>
      <c r="J30" s="260">
        <v>0</v>
      </c>
      <c r="K30" s="261">
        <v>745441.98225250002</v>
      </c>
      <c r="L30" s="262"/>
      <c r="M30" s="263">
        <v>862906.82364192989</v>
      </c>
      <c r="N30" s="264">
        <v>0</v>
      </c>
      <c r="O30" s="265">
        <v>524164.75</v>
      </c>
      <c r="P30" s="265">
        <v>90340.929870759093</v>
      </c>
      <c r="Q30" s="65">
        <f t="shared" si="11"/>
        <v>18958419.815396711</v>
      </c>
      <c r="R30" s="279">
        <v>0.03</v>
      </c>
      <c r="S30" s="280">
        <v>0.08</v>
      </c>
      <c r="T30" s="281">
        <v>0.1</v>
      </c>
      <c r="U30" s="65">
        <f t="shared" si="10"/>
        <v>23813624.890071478</v>
      </c>
      <c r="V30" s="287">
        <v>0</v>
      </c>
      <c r="W30" s="288"/>
      <c r="X30" s="64">
        <f t="shared" si="12"/>
        <v>23813624.890071478</v>
      </c>
      <c r="Z30" s="314"/>
      <c r="AA30" s="315"/>
      <c r="AB30" s="316"/>
    </row>
    <row r="31" spans="1:28">
      <c r="A31" s="32" t="s">
        <v>129</v>
      </c>
      <c r="B31" s="33" t="s">
        <v>135</v>
      </c>
      <c r="C31" s="256">
        <v>0</v>
      </c>
      <c r="D31" s="257">
        <v>0</v>
      </c>
      <c r="E31" s="258">
        <v>0</v>
      </c>
      <c r="F31" s="259">
        <v>0</v>
      </c>
      <c r="G31" s="260">
        <v>0</v>
      </c>
      <c r="H31" s="260">
        <v>0</v>
      </c>
      <c r="I31" s="260">
        <v>0</v>
      </c>
      <c r="J31" s="260">
        <v>0</v>
      </c>
      <c r="K31" s="261">
        <v>0</v>
      </c>
      <c r="L31" s="262"/>
      <c r="M31" s="263">
        <v>0</v>
      </c>
      <c r="N31" s="264">
        <v>0</v>
      </c>
      <c r="O31" s="265">
        <v>0</v>
      </c>
      <c r="P31" s="265">
        <v>0</v>
      </c>
      <c r="Q31" s="65">
        <f t="shared" si="11"/>
        <v>0</v>
      </c>
      <c r="R31" s="279"/>
      <c r="S31" s="280"/>
      <c r="T31" s="281"/>
      <c r="U31" s="65">
        <f t="shared" si="10"/>
        <v>0</v>
      </c>
      <c r="V31" s="287"/>
      <c r="W31" s="288"/>
      <c r="X31" s="64">
        <f t="shared" si="12"/>
        <v>0</v>
      </c>
      <c r="Z31" s="314"/>
      <c r="AA31" s="315"/>
      <c r="AB31" s="316"/>
    </row>
    <row r="32" spans="1:28">
      <c r="A32" s="32" t="s">
        <v>130</v>
      </c>
      <c r="B32" s="33" t="s">
        <v>136</v>
      </c>
      <c r="C32" s="256">
        <v>0</v>
      </c>
      <c r="D32" s="257">
        <v>539137.32420854107</v>
      </c>
      <c r="E32" s="258">
        <v>182602.23740914153</v>
      </c>
      <c r="F32" s="259">
        <v>0</v>
      </c>
      <c r="G32" s="260">
        <v>0</v>
      </c>
      <c r="H32" s="260">
        <v>594704.97523219814</v>
      </c>
      <c r="I32" s="260">
        <v>0</v>
      </c>
      <c r="J32" s="260">
        <v>2292676.3403467494</v>
      </c>
      <c r="K32" s="261">
        <v>458210.95143085701</v>
      </c>
      <c r="L32" s="262"/>
      <c r="M32" s="263">
        <v>861038.33524199575</v>
      </c>
      <c r="N32" s="264">
        <v>0</v>
      </c>
      <c r="O32" s="265">
        <v>0</v>
      </c>
      <c r="P32" s="265">
        <v>12727.864</v>
      </c>
      <c r="Q32" s="65">
        <f t="shared" si="11"/>
        <v>4941098.0278694835</v>
      </c>
      <c r="R32" s="279">
        <v>0.03</v>
      </c>
      <c r="S32" s="280">
        <v>0.08</v>
      </c>
      <c r="T32" s="281">
        <v>0.1</v>
      </c>
      <c r="U32" s="65">
        <f t="shared" si="10"/>
        <v>6206501.181348254</v>
      </c>
      <c r="V32" s="287"/>
      <c r="W32" s="288"/>
      <c r="X32" s="64">
        <f t="shared" si="12"/>
        <v>6206501.181348254</v>
      </c>
      <c r="Z32" s="314"/>
      <c r="AA32" s="315"/>
      <c r="AB32" s="316"/>
    </row>
    <row r="33" spans="1:28">
      <c r="A33" s="32" t="s">
        <v>131</v>
      </c>
      <c r="B33" s="33" t="s">
        <v>137</v>
      </c>
      <c r="C33" s="256">
        <v>0</v>
      </c>
      <c r="D33" s="257">
        <v>1201058.0746666698</v>
      </c>
      <c r="E33" s="258">
        <v>132857.88982719986</v>
      </c>
      <c r="F33" s="259">
        <v>0</v>
      </c>
      <c r="G33" s="260">
        <v>0</v>
      </c>
      <c r="H33" s="260">
        <v>0</v>
      </c>
      <c r="I33" s="260">
        <v>0</v>
      </c>
      <c r="J33" s="260">
        <v>0</v>
      </c>
      <c r="K33" s="261">
        <v>0</v>
      </c>
      <c r="L33" s="262"/>
      <c r="M33" s="263">
        <v>285211.68</v>
      </c>
      <c r="N33" s="264">
        <v>0</v>
      </c>
      <c r="O33" s="265">
        <v>0</v>
      </c>
      <c r="P33" s="265">
        <v>3840024.65</v>
      </c>
      <c r="Q33" s="65">
        <f t="shared" si="11"/>
        <v>5459152.2944938699</v>
      </c>
      <c r="R33" s="279">
        <v>0.03</v>
      </c>
      <c r="S33" s="280">
        <v>0.08</v>
      </c>
      <c r="T33" s="281">
        <v>0.1</v>
      </c>
      <c r="U33" s="65">
        <f t="shared" si="10"/>
        <v>6857227.8821081538</v>
      </c>
      <c r="V33" s="287"/>
      <c r="W33" s="288"/>
      <c r="X33" s="64">
        <f t="shared" si="12"/>
        <v>6857227.8821081538</v>
      </c>
      <c r="Z33" s="314"/>
      <c r="AA33" s="315"/>
      <c r="AB33" s="316"/>
    </row>
    <row r="34" spans="1:28">
      <c r="A34" s="18" t="s">
        <v>132</v>
      </c>
      <c r="B34" s="14" t="s">
        <v>138</v>
      </c>
      <c r="C34" s="266">
        <v>0</v>
      </c>
      <c r="D34" s="267">
        <v>0</v>
      </c>
      <c r="E34" s="268">
        <v>0</v>
      </c>
      <c r="F34" s="269">
        <v>0</v>
      </c>
      <c r="G34" s="270">
        <v>0</v>
      </c>
      <c r="H34" s="270">
        <v>0</v>
      </c>
      <c r="I34" s="270">
        <v>0</v>
      </c>
      <c r="J34" s="270">
        <v>0</v>
      </c>
      <c r="K34" s="271">
        <v>0</v>
      </c>
      <c r="L34" s="272"/>
      <c r="M34" s="273">
        <v>0</v>
      </c>
      <c r="N34" s="274">
        <v>0</v>
      </c>
      <c r="O34" s="275">
        <v>0</v>
      </c>
      <c r="P34" s="275">
        <v>0</v>
      </c>
      <c r="Q34" s="65">
        <f t="shared" si="11"/>
        <v>0</v>
      </c>
      <c r="R34" s="282"/>
      <c r="S34" s="283"/>
      <c r="T34" s="284"/>
      <c r="U34" s="66">
        <f t="shared" si="10"/>
        <v>0</v>
      </c>
      <c r="V34" s="289"/>
      <c r="W34" s="290"/>
      <c r="X34" s="64">
        <f t="shared" si="12"/>
        <v>0</v>
      </c>
      <c r="Z34" s="317"/>
      <c r="AA34" s="318"/>
      <c r="AB34" s="319"/>
    </row>
    <row r="35" spans="1:28">
      <c r="A35" s="7"/>
      <c r="C35" s="41"/>
      <c r="D35" s="38"/>
      <c r="E35" s="34"/>
      <c r="F35" s="91"/>
      <c r="G35" s="92"/>
      <c r="H35" s="92"/>
      <c r="I35" s="92"/>
      <c r="J35" s="92"/>
      <c r="K35" s="102"/>
      <c r="L35" s="40"/>
      <c r="M35" s="35"/>
      <c r="N35" s="36"/>
      <c r="O35" s="40"/>
      <c r="P35" s="40"/>
      <c r="Q35" s="40"/>
      <c r="R35" s="76"/>
      <c r="S35" s="95"/>
      <c r="T35" s="77"/>
      <c r="U35" s="40"/>
      <c r="V35" s="82"/>
      <c r="W35" s="83"/>
      <c r="X35" s="40"/>
      <c r="Z35" s="171"/>
      <c r="AA35" s="172"/>
      <c r="AB35" s="168"/>
    </row>
    <row r="36" spans="1:28">
      <c r="A36" s="56" t="s">
        <v>139</v>
      </c>
      <c r="B36" s="57" t="s">
        <v>15</v>
      </c>
      <c r="C36" s="46">
        <f>C37+C38</f>
        <v>0</v>
      </c>
      <c r="D36" s="47">
        <f t="shared" ref="D36:P36" si="13">D37+D38</f>
        <v>18499.78</v>
      </c>
      <c r="E36" s="85">
        <f t="shared" si="13"/>
        <v>5592.7030799999993</v>
      </c>
      <c r="F36" s="46">
        <f>F37+F38</f>
        <v>0</v>
      </c>
      <c r="G36" s="47">
        <f>G37+G38</f>
        <v>0</v>
      </c>
      <c r="H36" s="47">
        <f t="shared" ref="H36:K36" si="14">H37+H38</f>
        <v>0</v>
      </c>
      <c r="I36" s="47">
        <f t="shared" si="14"/>
        <v>0</v>
      </c>
      <c r="J36" s="47">
        <f t="shared" si="14"/>
        <v>0</v>
      </c>
      <c r="K36" s="47">
        <f t="shared" si="14"/>
        <v>0</v>
      </c>
      <c r="L36" s="49">
        <f t="shared" si="13"/>
        <v>0</v>
      </c>
      <c r="M36" s="46">
        <f t="shared" si="13"/>
        <v>68202.5</v>
      </c>
      <c r="N36" s="48">
        <f t="shared" si="13"/>
        <v>0</v>
      </c>
      <c r="O36" s="49">
        <f t="shared" si="13"/>
        <v>0</v>
      </c>
      <c r="P36" s="49">
        <f t="shared" si="13"/>
        <v>0</v>
      </c>
      <c r="Q36" s="49">
        <f>C36+D36+E36+F36+G36+H36+I36+J36+K36+M36+N36+O36+P36</f>
        <v>92294.983080000005</v>
      </c>
      <c r="R36" s="78"/>
      <c r="S36" s="96"/>
      <c r="T36" s="79"/>
      <c r="U36" s="49">
        <f>U37+U38</f>
        <v>129215.48535055052</v>
      </c>
      <c r="V36" s="153"/>
      <c r="W36" s="154"/>
      <c r="X36" s="49">
        <f>X37+X38</f>
        <v>129215.48535055052</v>
      </c>
      <c r="Z36" s="169"/>
      <c r="AA36" s="170"/>
      <c r="AB36" s="170"/>
    </row>
    <row r="37" spans="1:28">
      <c r="A37" s="17" t="s">
        <v>142</v>
      </c>
      <c r="B37" s="12" t="s">
        <v>140</v>
      </c>
      <c r="C37" s="246">
        <v>0</v>
      </c>
      <c r="D37" s="247">
        <v>0</v>
      </c>
      <c r="E37" s="248">
        <v>0</v>
      </c>
      <c r="F37" s="249">
        <v>0</v>
      </c>
      <c r="G37" s="250">
        <v>0</v>
      </c>
      <c r="H37" s="250">
        <v>0</v>
      </c>
      <c r="I37" s="250">
        <v>0</v>
      </c>
      <c r="J37" s="250">
        <v>0</v>
      </c>
      <c r="K37" s="251">
        <v>0</v>
      </c>
      <c r="L37" s="252"/>
      <c r="M37" s="253">
        <v>0</v>
      </c>
      <c r="N37" s="254">
        <v>0</v>
      </c>
      <c r="O37" s="255">
        <v>0</v>
      </c>
      <c r="P37" s="255">
        <v>0</v>
      </c>
      <c r="Q37" s="64">
        <f>C37+D37+E37+F37+G37+H37+I37+J37+K37+M37+N37+O37+P37</f>
        <v>0</v>
      </c>
      <c r="R37" s="276"/>
      <c r="S37" s="277"/>
      <c r="T37" s="278"/>
      <c r="U37" s="64">
        <f>((1+R37)/(1-S37-T37))*Q37</f>
        <v>0</v>
      </c>
      <c r="V37" s="285"/>
      <c r="W37" s="286"/>
      <c r="X37" s="64">
        <f>U37+V37+W37</f>
        <v>0</v>
      </c>
      <c r="Z37" s="311"/>
      <c r="AA37" s="312"/>
      <c r="AB37" s="313"/>
    </row>
    <row r="38" spans="1:28">
      <c r="A38" s="18" t="s">
        <v>143</v>
      </c>
      <c r="B38" s="14" t="s">
        <v>141</v>
      </c>
      <c r="C38" s="266">
        <v>0</v>
      </c>
      <c r="D38" s="267">
        <v>18499.78</v>
      </c>
      <c r="E38" s="268">
        <v>5592.7030799999993</v>
      </c>
      <c r="F38" s="269">
        <v>0</v>
      </c>
      <c r="G38" s="270">
        <v>0</v>
      </c>
      <c r="H38" s="270">
        <v>0</v>
      </c>
      <c r="I38" s="270">
        <v>0</v>
      </c>
      <c r="J38" s="270">
        <v>0</v>
      </c>
      <c r="K38" s="271">
        <v>0</v>
      </c>
      <c r="L38" s="272"/>
      <c r="M38" s="273">
        <v>68202.5</v>
      </c>
      <c r="N38" s="274">
        <v>0</v>
      </c>
      <c r="O38" s="275">
        <v>0</v>
      </c>
      <c r="P38" s="275">
        <v>0</v>
      </c>
      <c r="Q38" s="66">
        <f>C38+D38+E38+F38+G38+H38+I38+J38+K38+M38+N38+O38+P38</f>
        <v>92294.983080000005</v>
      </c>
      <c r="R38" s="282">
        <v>0.03</v>
      </c>
      <c r="S38" s="283">
        <v>0.08</v>
      </c>
      <c r="T38" s="284">
        <v>0.18429999999999999</v>
      </c>
      <c r="U38" s="66">
        <f>((1+R38)/(1-S38-T38))*Q38</f>
        <v>129215.48535055052</v>
      </c>
      <c r="V38" s="289"/>
      <c r="W38" s="290"/>
      <c r="X38" s="64">
        <f>U38+V38+W38</f>
        <v>129215.48535055052</v>
      </c>
      <c r="Z38" s="317"/>
      <c r="AA38" s="318"/>
      <c r="AB38" s="319"/>
    </row>
    <row r="39" spans="1:28">
      <c r="A39" s="7"/>
      <c r="C39" s="41"/>
      <c r="D39" s="38"/>
      <c r="E39" s="34"/>
      <c r="F39" s="91"/>
      <c r="G39" s="92"/>
      <c r="H39" s="92"/>
      <c r="I39" s="92"/>
      <c r="J39" s="92"/>
      <c r="K39" s="102"/>
      <c r="L39" s="40"/>
      <c r="M39" s="35"/>
      <c r="N39" s="36"/>
      <c r="O39" s="40"/>
      <c r="P39" s="40"/>
      <c r="Q39" s="40"/>
      <c r="R39" s="76"/>
      <c r="S39" s="95"/>
      <c r="T39" s="77"/>
      <c r="U39" s="40"/>
      <c r="V39" s="82"/>
      <c r="W39" s="83"/>
      <c r="X39" s="40"/>
      <c r="Z39" s="171"/>
      <c r="AA39" s="172"/>
      <c r="AB39" s="168"/>
    </row>
    <row r="40" spans="1:28">
      <c r="A40" s="15" t="s">
        <v>144</v>
      </c>
      <c r="B40" s="16" t="s">
        <v>145</v>
      </c>
      <c r="C40" s="291"/>
      <c r="D40" s="292"/>
      <c r="E40" s="293"/>
      <c r="F40" s="291"/>
      <c r="G40" s="294"/>
      <c r="H40" s="294"/>
      <c r="I40" s="294"/>
      <c r="J40" s="294"/>
      <c r="K40" s="295"/>
      <c r="L40" s="296">
        <f>SUM(F40:K40)</f>
        <v>0</v>
      </c>
      <c r="M40" s="291"/>
      <c r="N40" s="297"/>
      <c r="O40" s="298"/>
      <c r="P40" s="298"/>
      <c r="Q40" s="67">
        <f>C40+D40+E40+F40+G40+H40+I40+J40+K40+M40+N40+O40+P40</f>
        <v>0</v>
      </c>
      <c r="R40" s="299"/>
      <c r="S40" s="300"/>
      <c r="T40" s="301"/>
      <c r="U40" s="67">
        <f>((1+R40)/(1-S40-T40))*Q40</f>
        <v>0</v>
      </c>
      <c r="V40" s="302"/>
      <c r="W40" s="303"/>
      <c r="X40" s="67">
        <f>U40+V40+W40</f>
        <v>0</v>
      </c>
      <c r="Z40" s="320"/>
      <c r="AA40" s="321"/>
      <c r="AB40" s="322"/>
    </row>
    <row r="41" spans="1:28" ht="15" thickBot="1">
      <c r="A41" s="7"/>
      <c r="C41" s="41"/>
      <c r="D41" s="38"/>
      <c r="E41" s="34"/>
      <c r="F41" s="91"/>
      <c r="G41" s="92"/>
      <c r="H41" s="92"/>
      <c r="I41" s="92"/>
      <c r="J41" s="92"/>
      <c r="K41" s="102"/>
      <c r="L41" s="40"/>
      <c r="M41" s="35"/>
      <c r="N41" s="36"/>
      <c r="O41" s="40"/>
      <c r="P41" s="40"/>
      <c r="Q41" s="40"/>
      <c r="R41" s="82"/>
      <c r="S41" s="98"/>
      <c r="T41" s="83"/>
      <c r="U41" s="40"/>
      <c r="V41" s="82"/>
      <c r="W41" s="83"/>
      <c r="X41" s="40"/>
      <c r="Z41" s="171"/>
      <c r="AA41" s="172"/>
      <c r="AB41" s="168"/>
    </row>
    <row r="42" spans="1:28" ht="15" thickBot="1">
      <c r="A42" s="19"/>
      <c r="B42" s="20" t="s">
        <v>146</v>
      </c>
      <c r="C42" s="68">
        <f t="shared" ref="C42:P42" si="15">C40+C36+C25+C14+C10</f>
        <v>8312319.0614824397</v>
      </c>
      <c r="D42" s="68">
        <f t="shared" si="15"/>
        <v>12151118.768926792</v>
      </c>
      <c r="E42" s="86">
        <f t="shared" si="15"/>
        <v>10632596.760962699</v>
      </c>
      <c r="F42" s="86">
        <f t="shared" si="15"/>
        <v>1245267.5837586371</v>
      </c>
      <c r="G42" s="86">
        <f t="shared" si="15"/>
        <v>124966.10060901164</v>
      </c>
      <c r="H42" s="86">
        <f t="shared" si="15"/>
        <v>594704.97523219814</v>
      </c>
      <c r="I42" s="86">
        <f t="shared" si="15"/>
        <v>11517887.94980609</v>
      </c>
      <c r="J42" s="86">
        <f t="shared" si="15"/>
        <v>2293476.3403467494</v>
      </c>
      <c r="K42" s="86">
        <f t="shared" si="15"/>
        <v>6623007.5443042247</v>
      </c>
      <c r="L42" s="68">
        <f t="shared" si="15"/>
        <v>0</v>
      </c>
      <c r="M42" s="68">
        <f t="shared" si="15"/>
        <v>4940321.0461876765</v>
      </c>
      <c r="N42" s="68">
        <f t="shared" si="15"/>
        <v>11495539.243464358</v>
      </c>
      <c r="O42" s="68">
        <f t="shared" si="15"/>
        <v>25639248.598508507</v>
      </c>
      <c r="P42" s="68">
        <f t="shared" si="15"/>
        <v>4892610.2599743679</v>
      </c>
      <c r="Q42" s="68">
        <f>C42+D42+E42+F42+G42+H42+I42+J42+K42+M42+N42+O42+P42</f>
        <v>100463064.23356375</v>
      </c>
      <c r="R42" s="68"/>
      <c r="S42" s="93"/>
      <c r="T42" s="84"/>
      <c r="U42" s="68">
        <f>U40+U36+U25+U14+U10</f>
        <v>116843300.56370737</v>
      </c>
      <c r="V42" s="68"/>
      <c r="W42" s="84"/>
      <c r="X42" s="68">
        <f>X40+X36+X25+X14+X10</f>
        <v>116843300.56370737</v>
      </c>
      <c r="Z42" s="174"/>
      <c r="AA42" s="175"/>
      <c r="AB42" s="174"/>
    </row>
  </sheetData>
  <sheetProtection sheet="1" objects="1" scenarios="1"/>
  <mergeCells count="16">
    <mergeCell ref="O8:O9"/>
    <mergeCell ref="U8:U9"/>
    <mergeCell ref="R8:T8"/>
    <mergeCell ref="V8:W8"/>
    <mergeCell ref="X8:X9"/>
    <mergeCell ref="Q8:Q9"/>
    <mergeCell ref="P8:P9"/>
    <mergeCell ref="A1:B1"/>
    <mergeCell ref="A3:B3"/>
    <mergeCell ref="A5:B5"/>
    <mergeCell ref="M8:N8"/>
    <mergeCell ref="A6:B6"/>
    <mergeCell ref="C8:D8"/>
    <mergeCell ref="E8:E9"/>
    <mergeCell ref="F8:L8"/>
    <mergeCell ref="A8:A9"/>
  </mergeCells>
  <pageMargins left="0.7" right="0.7" top="0.75" bottom="0.75" header="0.3" footer="0.3"/>
  <pageSetup paperSize="9" scale="3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M39"/>
  <sheetViews>
    <sheetView workbookViewId="0">
      <pane ySplit="4" topLeftCell="A17" activePane="bottomLeft" state="frozen"/>
      <selection pane="bottomLeft" activeCell="L39" sqref="L39"/>
    </sheetView>
  </sheetViews>
  <sheetFormatPr defaultColWidth="9.109375" defaultRowHeight="14.4"/>
  <cols>
    <col min="1" max="1" width="29.44140625" style="146" bestFit="1" customWidth="1"/>
    <col min="2" max="2" width="22.33203125" style="146" customWidth="1"/>
    <col min="3" max="3" width="14.33203125" style="146" customWidth="1"/>
    <col min="4" max="4" width="13.88671875" style="146" customWidth="1"/>
    <col min="5" max="5" width="14.33203125" style="146" customWidth="1"/>
    <col min="6" max="6" width="11.6640625" style="146" customWidth="1"/>
    <col min="7" max="7" width="14.33203125" style="146" customWidth="1"/>
    <col min="8" max="10" width="11.6640625" style="146" customWidth="1"/>
    <col min="11" max="11" width="11.33203125" style="146" bestFit="1" customWidth="1"/>
    <col min="12" max="12" width="12.44140625" style="146" customWidth="1"/>
    <col min="13" max="16384" width="9.109375" style="146"/>
  </cols>
  <sheetData>
    <row r="1" spans="1:12" ht="15" thickBot="1">
      <c r="A1" s="378" t="s">
        <v>443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</row>
    <row r="2" spans="1:12">
      <c r="A2" s="114" t="s">
        <v>437</v>
      </c>
      <c r="B2" s="114"/>
      <c r="C2" s="380" t="s">
        <v>14</v>
      </c>
      <c r="D2" s="381"/>
      <c r="E2" s="381"/>
      <c r="F2" s="381"/>
      <c r="G2" s="381"/>
      <c r="H2" s="381"/>
      <c r="I2" s="381"/>
      <c r="J2" s="382"/>
      <c r="K2" s="117" t="s">
        <v>101</v>
      </c>
      <c r="L2" s="116" t="s">
        <v>146</v>
      </c>
    </row>
    <row r="3" spans="1:12">
      <c r="A3" s="114"/>
      <c r="B3" s="114"/>
      <c r="C3" s="383" t="s">
        <v>469</v>
      </c>
      <c r="D3" s="384"/>
      <c r="E3" s="384"/>
      <c r="F3" s="384"/>
      <c r="G3" s="385"/>
      <c r="H3" s="202" t="s">
        <v>104</v>
      </c>
      <c r="I3" s="386" t="s">
        <v>103</v>
      </c>
      <c r="J3" s="386"/>
      <c r="K3" s="200"/>
      <c r="L3" s="203"/>
    </row>
    <row r="4" spans="1:12" ht="15" thickBot="1">
      <c r="B4" s="115" t="s">
        <v>438</v>
      </c>
      <c r="C4" s="150" t="s">
        <v>433</v>
      </c>
      <c r="D4" s="151" t="s">
        <v>434</v>
      </c>
      <c r="E4" s="151" t="s">
        <v>435</v>
      </c>
      <c r="F4" s="152" t="s">
        <v>436</v>
      </c>
      <c r="G4" s="148" t="s">
        <v>456</v>
      </c>
      <c r="H4" s="197" t="s">
        <v>518</v>
      </c>
      <c r="I4" s="197" t="s">
        <v>12</v>
      </c>
      <c r="J4" s="197" t="s">
        <v>13</v>
      </c>
      <c r="K4" s="118"/>
      <c r="L4" s="203"/>
    </row>
    <row r="5" spans="1:12" ht="15" thickBot="1">
      <c r="A5" s="372" t="s">
        <v>424</v>
      </c>
      <c r="B5" s="373"/>
      <c r="C5" s="374"/>
      <c r="D5" s="374"/>
      <c r="E5" s="374"/>
      <c r="F5" s="374"/>
      <c r="G5" s="374"/>
      <c r="H5" s="374"/>
      <c r="I5" s="374"/>
      <c r="J5" s="374"/>
      <c r="K5" s="374"/>
      <c r="L5" s="373"/>
    </row>
    <row r="6" spans="1:12">
      <c r="A6" s="108" t="s">
        <v>1109</v>
      </c>
      <c r="B6" s="324"/>
      <c r="C6" s="327">
        <v>0</v>
      </c>
      <c r="D6" s="328">
        <v>0</v>
      </c>
      <c r="E6" s="328">
        <v>0</v>
      </c>
      <c r="F6" s="329">
        <v>0</v>
      </c>
      <c r="G6" s="131">
        <f t="shared" ref="G6:G16" si="0">C6+D6+E6+F6</f>
        <v>0</v>
      </c>
      <c r="H6" s="336">
        <v>0</v>
      </c>
      <c r="I6" s="336">
        <v>0</v>
      </c>
      <c r="J6" s="336">
        <v>0</v>
      </c>
      <c r="K6" s="337">
        <v>0</v>
      </c>
      <c r="L6" s="133">
        <f>G6+K6</f>
        <v>0</v>
      </c>
    </row>
    <row r="7" spans="1:12">
      <c r="A7" s="349" t="s">
        <v>1110</v>
      </c>
      <c r="B7" s="350"/>
      <c r="C7" s="351">
        <v>0</v>
      </c>
      <c r="D7" s="352">
        <v>0</v>
      </c>
      <c r="E7" s="352">
        <v>0</v>
      </c>
      <c r="F7" s="353">
        <v>0</v>
      </c>
      <c r="G7" s="136">
        <f t="shared" si="0"/>
        <v>0</v>
      </c>
      <c r="H7" s="354">
        <v>0</v>
      </c>
      <c r="I7" s="354">
        <v>0</v>
      </c>
      <c r="J7" s="354">
        <v>0</v>
      </c>
      <c r="K7" s="355">
        <v>0</v>
      </c>
      <c r="L7" s="133">
        <f t="shared" ref="L7:L9" si="1">G7+K7</f>
        <v>0</v>
      </c>
    </row>
    <row r="8" spans="1:12">
      <c r="A8" s="349" t="s">
        <v>1111</v>
      </c>
      <c r="B8" s="350"/>
      <c r="C8" s="351">
        <v>0</v>
      </c>
      <c r="D8" s="352">
        <v>0</v>
      </c>
      <c r="E8" s="352">
        <v>0</v>
      </c>
      <c r="F8" s="353">
        <v>0</v>
      </c>
      <c r="G8" s="136">
        <f t="shared" si="0"/>
        <v>0</v>
      </c>
      <c r="H8" s="354">
        <v>0</v>
      </c>
      <c r="I8" s="354">
        <v>0</v>
      </c>
      <c r="J8" s="354">
        <v>0</v>
      </c>
      <c r="K8" s="355">
        <v>0</v>
      </c>
      <c r="L8" s="133">
        <f t="shared" si="1"/>
        <v>0</v>
      </c>
    </row>
    <row r="9" spans="1:12">
      <c r="A9" s="349" t="s">
        <v>1112</v>
      </c>
      <c r="B9" s="350"/>
      <c r="C9" s="351">
        <v>0</v>
      </c>
      <c r="D9" s="352">
        <v>0</v>
      </c>
      <c r="E9" s="352">
        <v>0</v>
      </c>
      <c r="F9" s="353">
        <v>0</v>
      </c>
      <c r="G9" s="136">
        <f t="shared" si="0"/>
        <v>0</v>
      </c>
      <c r="H9" s="354">
        <v>0</v>
      </c>
      <c r="I9" s="354">
        <v>0</v>
      </c>
      <c r="J9" s="354">
        <v>0</v>
      </c>
      <c r="K9" s="355">
        <v>0</v>
      </c>
      <c r="L9" s="133">
        <f t="shared" si="1"/>
        <v>0</v>
      </c>
    </row>
    <row r="10" spans="1:12">
      <c r="A10" s="109" t="s">
        <v>1113</v>
      </c>
      <c r="B10" s="325"/>
      <c r="C10" s="330">
        <v>0</v>
      </c>
      <c r="D10" s="331">
        <v>0</v>
      </c>
      <c r="E10" s="331">
        <v>0</v>
      </c>
      <c r="F10" s="332">
        <v>0</v>
      </c>
      <c r="G10" s="136">
        <f t="shared" si="0"/>
        <v>0</v>
      </c>
      <c r="H10" s="338">
        <v>0</v>
      </c>
      <c r="I10" s="338">
        <v>0</v>
      </c>
      <c r="J10" s="338">
        <v>0</v>
      </c>
      <c r="K10" s="339">
        <v>0</v>
      </c>
      <c r="L10" s="133">
        <f t="shared" ref="L10:L16" si="2">G10+K10</f>
        <v>0</v>
      </c>
    </row>
    <row r="11" spans="1:12">
      <c r="A11" s="109" t="s">
        <v>451</v>
      </c>
      <c r="B11" s="325"/>
      <c r="C11" s="330">
        <v>0</v>
      </c>
      <c r="D11" s="331">
        <v>0</v>
      </c>
      <c r="E11" s="331">
        <v>0</v>
      </c>
      <c r="F11" s="332">
        <v>0</v>
      </c>
      <c r="G11" s="136">
        <f t="shared" si="0"/>
        <v>0</v>
      </c>
      <c r="H11" s="338">
        <v>0</v>
      </c>
      <c r="I11" s="338">
        <v>0</v>
      </c>
      <c r="J11" s="338">
        <v>0</v>
      </c>
      <c r="K11" s="339">
        <v>0</v>
      </c>
      <c r="L11" s="133">
        <f t="shared" si="2"/>
        <v>0</v>
      </c>
    </row>
    <row r="12" spans="1:12">
      <c r="A12" s="109" t="s">
        <v>450</v>
      </c>
      <c r="B12" s="325" t="s">
        <v>1157</v>
      </c>
      <c r="C12" s="330">
        <v>0</v>
      </c>
      <c r="D12" s="331">
        <v>0</v>
      </c>
      <c r="E12" s="331">
        <v>0</v>
      </c>
      <c r="F12" s="332">
        <v>0</v>
      </c>
      <c r="G12" s="136">
        <f t="shared" si="0"/>
        <v>0</v>
      </c>
      <c r="H12" s="338">
        <v>0</v>
      </c>
      <c r="I12" s="338">
        <v>0</v>
      </c>
      <c r="J12" s="338">
        <v>0</v>
      </c>
      <c r="K12" s="339">
        <v>723696.50586652744</v>
      </c>
      <c r="L12" s="133">
        <f t="shared" si="2"/>
        <v>723696.50586652744</v>
      </c>
    </row>
    <row r="13" spans="1:12">
      <c r="A13" s="109" t="s">
        <v>1114</v>
      </c>
      <c r="B13" s="325" t="s">
        <v>1156</v>
      </c>
      <c r="C13" s="330">
        <v>21354.720000000001</v>
      </c>
      <c r="D13" s="331">
        <v>3194.64</v>
      </c>
      <c r="E13" s="331">
        <v>14643.119999999999</v>
      </c>
      <c r="F13" s="332">
        <v>3366</v>
      </c>
      <c r="G13" s="136">
        <f t="shared" si="0"/>
        <v>42558.479999999996</v>
      </c>
      <c r="H13" s="338">
        <v>2562.2399999999998</v>
      </c>
      <c r="I13" s="338">
        <v>14989.919999999998</v>
      </c>
      <c r="J13" s="338">
        <v>0</v>
      </c>
      <c r="K13" s="339">
        <v>0</v>
      </c>
      <c r="L13" s="133">
        <f t="shared" si="2"/>
        <v>42558.479999999996</v>
      </c>
    </row>
    <row r="14" spans="1:12">
      <c r="A14" s="109" t="s">
        <v>1115</v>
      </c>
      <c r="B14" s="325"/>
      <c r="C14" s="330">
        <v>0</v>
      </c>
      <c r="D14" s="331">
        <v>0</v>
      </c>
      <c r="E14" s="331">
        <v>0</v>
      </c>
      <c r="F14" s="332">
        <v>0</v>
      </c>
      <c r="G14" s="136">
        <f t="shared" si="0"/>
        <v>0</v>
      </c>
      <c r="H14" s="338">
        <v>0</v>
      </c>
      <c r="I14" s="338">
        <v>0</v>
      </c>
      <c r="J14" s="338">
        <v>0</v>
      </c>
      <c r="K14" s="339">
        <v>0</v>
      </c>
      <c r="L14" s="133">
        <f t="shared" si="2"/>
        <v>0</v>
      </c>
    </row>
    <row r="15" spans="1:12">
      <c r="A15" s="109" t="s">
        <v>1116</v>
      </c>
      <c r="B15" s="325" t="s">
        <v>1157</v>
      </c>
      <c r="C15" s="330">
        <v>0</v>
      </c>
      <c r="D15" s="331">
        <v>0</v>
      </c>
      <c r="E15" s="331">
        <v>0</v>
      </c>
      <c r="F15" s="332">
        <v>0</v>
      </c>
      <c r="G15" s="136">
        <f t="shared" si="0"/>
        <v>0</v>
      </c>
      <c r="H15" s="338">
        <v>0</v>
      </c>
      <c r="I15" s="338">
        <v>0</v>
      </c>
      <c r="J15" s="338">
        <v>0</v>
      </c>
      <c r="K15" s="339">
        <v>578957.20469322312</v>
      </c>
      <c r="L15" s="133">
        <f t="shared" si="2"/>
        <v>578957.20469322312</v>
      </c>
    </row>
    <row r="16" spans="1:12" ht="15" thickBot="1">
      <c r="A16" s="110" t="s">
        <v>425</v>
      </c>
      <c r="B16" s="326"/>
      <c r="C16" s="333">
        <v>0</v>
      </c>
      <c r="D16" s="334">
        <v>0</v>
      </c>
      <c r="E16" s="334">
        <v>0</v>
      </c>
      <c r="F16" s="335">
        <v>0</v>
      </c>
      <c r="G16" s="140">
        <f t="shared" si="0"/>
        <v>0</v>
      </c>
      <c r="H16" s="340">
        <v>0</v>
      </c>
      <c r="I16" s="340">
        <v>0</v>
      </c>
      <c r="J16" s="340">
        <v>0</v>
      </c>
      <c r="K16" s="341">
        <v>0</v>
      </c>
      <c r="L16" s="133">
        <f t="shared" si="2"/>
        <v>0</v>
      </c>
    </row>
    <row r="17" spans="1:12">
      <c r="A17" s="111"/>
      <c r="B17" s="111"/>
      <c r="C17" s="113"/>
      <c r="D17" s="113"/>
      <c r="E17" s="113"/>
      <c r="F17" s="113"/>
      <c r="G17" s="113"/>
      <c r="H17" s="113"/>
      <c r="I17" s="113"/>
      <c r="J17" s="113"/>
      <c r="K17" s="104"/>
      <c r="L17" s="105"/>
    </row>
    <row r="18" spans="1:12" ht="15" thickBot="1">
      <c r="A18" s="372" t="s">
        <v>426</v>
      </c>
      <c r="B18" s="373"/>
      <c r="C18" s="374"/>
      <c r="D18" s="374"/>
      <c r="E18" s="374"/>
      <c r="F18" s="374"/>
      <c r="G18" s="374"/>
      <c r="H18" s="374"/>
      <c r="I18" s="374"/>
      <c r="J18" s="374"/>
      <c r="K18" s="374"/>
      <c r="L18" s="373"/>
    </row>
    <row r="19" spans="1:12">
      <c r="A19" s="108" t="s">
        <v>427</v>
      </c>
      <c r="B19" s="324" t="s">
        <v>1158</v>
      </c>
      <c r="C19" s="327"/>
      <c r="D19" s="328"/>
      <c r="E19" s="328"/>
      <c r="F19" s="329"/>
      <c r="G19" s="131">
        <f t="shared" ref="G19:G29" si="3">C19+D19+E19+F19</f>
        <v>0</v>
      </c>
      <c r="H19" s="336"/>
      <c r="I19" s="336"/>
      <c r="J19" s="336"/>
      <c r="K19" s="337">
        <v>1400684.1687737978</v>
      </c>
      <c r="L19" s="133">
        <f>G19+K19</f>
        <v>1400684.1687737978</v>
      </c>
    </row>
    <row r="20" spans="1:12">
      <c r="A20" s="109" t="s">
        <v>428</v>
      </c>
      <c r="B20" s="325" t="s">
        <v>1157</v>
      </c>
      <c r="C20" s="330"/>
      <c r="D20" s="331"/>
      <c r="E20" s="331"/>
      <c r="F20" s="332"/>
      <c r="G20" s="136">
        <f t="shared" si="3"/>
        <v>0</v>
      </c>
      <c r="H20" s="338"/>
      <c r="I20" s="338"/>
      <c r="J20" s="338"/>
      <c r="K20" s="339">
        <v>1164837.8758310408</v>
      </c>
      <c r="L20" s="133">
        <f t="shared" ref="L20:L29" si="4">G20+K20</f>
        <v>1164837.8758310408</v>
      </c>
    </row>
    <row r="21" spans="1:12">
      <c r="A21" s="109" t="s">
        <v>429</v>
      </c>
      <c r="B21" s="325" t="s">
        <v>1157</v>
      </c>
      <c r="C21" s="330"/>
      <c r="D21" s="331"/>
      <c r="E21" s="331"/>
      <c r="F21" s="332"/>
      <c r="G21" s="136">
        <f t="shared" si="3"/>
        <v>0</v>
      </c>
      <c r="H21" s="338"/>
      <c r="I21" s="338"/>
      <c r="J21" s="338"/>
      <c r="K21" s="339">
        <v>330714.45655108197</v>
      </c>
      <c r="L21" s="133">
        <f t="shared" si="4"/>
        <v>330714.45655108197</v>
      </c>
    </row>
    <row r="22" spans="1:12">
      <c r="A22" s="109" t="s">
        <v>430</v>
      </c>
      <c r="B22" s="325" t="s">
        <v>1159</v>
      </c>
      <c r="C22" s="330"/>
      <c r="D22" s="331"/>
      <c r="E22" s="331"/>
      <c r="F22" s="332"/>
      <c r="G22" s="136">
        <f t="shared" si="3"/>
        <v>0</v>
      </c>
      <c r="H22" s="338"/>
      <c r="I22" s="338"/>
      <c r="J22" s="338"/>
      <c r="K22" s="339">
        <v>541622.00911250431</v>
      </c>
      <c r="L22" s="133">
        <f t="shared" si="4"/>
        <v>541622.00911250431</v>
      </c>
    </row>
    <row r="23" spans="1:12">
      <c r="A23" s="109" t="s">
        <v>431</v>
      </c>
      <c r="B23" s="325" t="s">
        <v>1160</v>
      </c>
      <c r="C23" s="330"/>
      <c r="D23" s="331"/>
      <c r="E23" s="331"/>
      <c r="F23" s="332"/>
      <c r="G23" s="136">
        <f t="shared" si="3"/>
        <v>0</v>
      </c>
      <c r="H23" s="338"/>
      <c r="I23" s="338"/>
      <c r="J23" s="338"/>
      <c r="K23" s="339">
        <v>1092167.2431531267</v>
      </c>
      <c r="L23" s="133">
        <f t="shared" si="4"/>
        <v>1092167.2431531267</v>
      </c>
    </row>
    <row r="24" spans="1:12">
      <c r="A24" s="109" t="s">
        <v>459</v>
      </c>
      <c r="B24" s="342" t="s">
        <v>1156</v>
      </c>
      <c r="C24" s="343"/>
      <c r="D24" s="344"/>
      <c r="E24" s="344"/>
      <c r="F24" s="345"/>
      <c r="G24" s="136">
        <f t="shared" si="3"/>
        <v>0</v>
      </c>
      <c r="H24" s="346"/>
      <c r="I24" s="346"/>
      <c r="J24" s="346"/>
      <c r="K24" s="347">
        <v>168000</v>
      </c>
      <c r="L24" s="133">
        <f t="shared" si="4"/>
        <v>168000</v>
      </c>
    </row>
    <row r="25" spans="1:12">
      <c r="A25" s="109" t="s">
        <v>460</v>
      </c>
      <c r="B25" s="342" t="s">
        <v>1156</v>
      </c>
      <c r="C25" s="343"/>
      <c r="D25" s="344"/>
      <c r="E25" s="344"/>
      <c r="F25" s="345"/>
      <c r="G25" s="136">
        <f t="shared" si="3"/>
        <v>0</v>
      </c>
      <c r="H25" s="346"/>
      <c r="I25" s="346"/>
      <c r="J25" s="346"/>
      <c r="K25" s="347">
        <v>349782.4</v>
      </c>
      <c r="L25" s="133">
        <f t="shared" si="4"/>
        <v>349782.4</v>
      </c>
    </row>
    <row r="26" spans="1:12">
      <c r="A26" s="109" t="s">
        <v>461</v>
      </c>
      <c r="B26" s="342" t="s">
        <v>1159</v>
      </c>
      <c r="C26" s="343"/>
      <c r="D26" s="344"/>
      <c r="E26" s="344"/>
      <c r="F26" s="345"/>
      <c r="G26" s="136">
        <f t="shared" si="3"/>
        <v>0</v>
      </c>
      <c r="H26" s="346"/>
      <c r="I26" s="346"/>
      <c r="J26" s="346"/>
      <c r="K26" s="347">
        <v>1064315.0746666698</v>
      </c>
      <c r="L26" s="133">
        <f t="shared" si="4"/>
        <v>1064315.0746666698</v>
      </c>
    </row>
    <row r="27" spans="1:12">
      <c r="A27" s="109" t="s">
        <v>462</v>
      </c>
      <c r="B27" s="342" t="s">
        <v>1157</v>
      </c>
      <c r="C27" s="343"/>
      <c r="D27" s="344"/>
      <c r="E27" s="344"/>
      <c r="F27" s="345"/>
      <c r="G27" s="136">
        <f t="shared" si="3"/>
        <v>0</v>
      </c>
      <c r="H27" s="346"/>
      <c r="I27" s="346"/>
      <c r="J27" s="346"/>
      <c r="K27" s="347">
        <v>99254.52</v>
      </c>
      <c r="L27" s="133">
        <f t="shared" si="4"/>
        <v>99254.52</v>
      </c>
    </row>
    <row r="28" spans="1:12">
      <c r="A28" s="109" t="s">
        <v>463</v>
      </c>
      <c r="B28" s="342" t="s">
        <v>1161</v>
      </c>
      <c r="C28" s="343"/>
      <c r="D28" s="344"/>
      <c r="E28" s="344"/>
      <c r="F28" s="345"/>
      <c r="G28" s="136">
        <f t="shared" si="3"/>
        <v>0</v>
      </c>
      <c r="H28" s="346"/>
      <c r="I28" s="346"/>
      <c r="J28" s="346"/>
      <c r="K28" s="347">
        <v>1257345</v>
      </c>
      <c r="L28" s="133">
        <f t="shared" si="4"/>
        <v>1257345</v>
      </c>
    </row>
    <row r="29" spans="1:12" ht="15" thickBot="1">
      <c r="A29" s="109" t="s">
        <v>432</v>
      </c>
      <c r="B29" s="342"/>
      <c r="C29" s="333"/>
      <c r="D29" s="334"/>
      <c r="E29" s="334"/>
      <c r="F29" s="335"/>
      <c r="G29" s="140">
        <f t="shared" si="3"/>
        <v>0</v>
      </c>
      <c r="H29" s="340"/>
      <c r="I29" s="340"/>
      <c r="J29" s="340"/>
      <c r="K29" s="341">
        <v>490043.88420853938</v>
      </c>
      <c r="L29" s="133">
        <f t="shared" si="4"/>
        <v>490043.88420853938</v>
      </c>
    </row>
    <row r="30" spans="1:12">
      <c r="A30" s="111"/>
      <c r="B30" s="111"/>
      <c r="C30" s="113"/>
      <c r="D30" s="113"/>
      <c r="E30" s="113"/>
      <c r="F30" s="113"/>
      <c r="G30" s="113"/>
      <c r="H30" s="113"/>
      <c r="I30" s="113"/>
      <c r="J30" s="113"/>
      <c r="K30" s="104"/>
      <c r="L30" s="105"/>
    </row>
    <row r="31" spans="1:12" ht="15" thickBot="1">
      <c r="A31" s="372" t="s">
        <v>15</v>
      </c>
      <c r="B31" s="373"/>
      <c r="C31" s="374"/>
      <c r="D31" s="374"/>
      <c r="E31" s="374"/>
      <c r="F31" s="374"/>
      <c r="G31" s="374"/>
      <c r="H31" s="374"/>
      <c r="I31" s="374"/>
      <c r="J31" s="374"/>
      <c r="K31" s="374"/>
      <c r="L31" s="373"/>
    </row>
    <row r="32" spans="1:12">
      <c r="A32" s="109" t="s">
        <v>421</v>
      </c>
      <c r="B32" s="325"/>
      <c r="C32" s="327"/>
      <c r="D32" s="328"/>
      <c r="E32" s="328"/>
      <c r="F32" s="329"/>
      <c r="G32" s="131">
        <f>C32+D32+E32+F32</f>
        <v>0</v>
      </c>
      <c r="H32" s="336"/>
      <c r="I32" s="336"/>
      <c r="J32" s="336"/>
      <c r="K32" s="337"/>
      <c r="L32" s="133">
        <f>G32+K32</f>
        <v>0</v>
      </c>
    </row>
    <row r="33" spans="1:13">
      <c r="A33" s="109" t="s">
        <v>457</v>
      </c>
      <c r="B33" s="325"/>
      <c r="C33" s="330">
        <v>21914.400000000001</v>
      </c>
      <c r="D33" s="331">
        <v>4557.6000000000004</v>
      </c>
      <c r="E33" s="331">
        <v>11904</v>
      </c>
      <c r="F33" s="332">
        <v>4101.6000000000004</v>
      </c>
      <c r="G33" s="136">
        <f>C33+D33+E33+F33</f>
        <v>42477.599999999999</v>
      </c>
      <c r="H33" s="338">
        <v>3232.8</v>
      </c>
      <c r="I33" s="338">
        <v>17635.2</v>
      </c>
      <c r="J33" s="338">
        <v>48507.6</v>
      </c>
      <c r="K33" s="339">
        <v>132122.88</v>
      </c>
      <c r="L33" s="133">
        <f t="shared" ref="L33:L34" si="5">G33+K33</f>
        <v>174600.48</v>
      </c>
    </row>
    <row r="34" spans="1:13" ht="14.25" customHeight="1" thickBot="1">
      <c r="A34" s="109" t="s">
        <v>458</v>
      </c>
      <c r="B34" s="342"/>
      <c r="C34" s="333">
        <v>0</v>
      </c>
      <c r="D34" s="334">
        <v>0</v>
      </c>
      <c r="E34" s="334">
        <v>0</v>
      </c>
      <c r="F34" s="335">
        <v>0</v>
      </c>
      <c r="G34" s="140">
        <f>C34+D34+E34+F34</f>
        <v>0</v>
      </c>
      <c r="H34" s="340">
        <v>0</v>
      </c>
      <c r="I34" s="340">
        <v>0</v>
      </c>
      <c r="J34" s="340">
        <v>0</v>
      </c>
      <c r="K34" s="341">
        <v>334090.88</v>
      </c>
      <c r="L34" s="133">
        <f t="shared" si="5"/>
        <v>334090.88</v>
      </c>
    </row>
    <row r="35" spans="1:13" ht="15" thickBot="1">
      <c r="A35" s="112"/>
      <c r="B35" s="123"/>
      <c r="C35" s="124"/>
      <c r="D35" s="124"/>
      <c r="E35" s="124"/>
      <c r="F35" s="124"/>
      <c r="G35" s="124"/>
      <c r="H35" s="124"/>
      <c r="I35" s="124"/>
      <c r="J35" s="124"/>
      <c r="K35" s="124"/>
      <c r="L35" s="125"/>
    </row>
    <row r="36" spans="1:13" ht="15" thickBot="1">
      <c r="A36" s="106" t="s">
        <v>422</v>
      </c>
      <c r="B36" s="348"/>
      <c r="C36" s="142">
        <f t="shared" ref="C36:F36" si="6">C32+C29+C23+C22+C21+C20+C19+C6+C10+C11+C12+C13+C14+C15+C16+C33+C34+C28+C27+C26+C25+C24+C7+C8+C9</f>
        <v>43269.120000000003</v>
      </c>
      <c r="D36" s="142">
        <f t="shared" si="6"/>
        <v>7752.24</v>
      </c>
      <c r="E36" s="142">
        <f t="shared" si="6"/>
        <v>26547.119999999999</v>
      </c>
      <c r="F36" s="142">
        <f t="shared" si="6"/>
        <v>7467.6</v>
      </c>
      <c r="G36" s="142">
        <f>G32+G29+G23+G22+G21+G20+G19+G6+G10+G11+G12+G13+G14+G15+G16+G33+G34+G28+G27+G26+G25+G24+G7+G8+G9</f>
        <v>85036.079999999987</v>
      </c>
      <c r="H36" s="199"/>
      <c r="I36" s="199"/>
      <c r="J36" s="199"/>
      <c r="K36" s="142">
        <f>K32+K29+K23+K22+K21+K20+K19+K6+K10+K11+K12+K13+K14+K15+K16+K33+K34+K28+K27+K26+K25+K24+K9+K8+K7</f>
        <v>9727634.1028565113</v>
      </c>
      <c r="L36" s="143">
        <f>K36+G36</f>
        <v>9812670.1828565113</v>
      </c>
      <c r="M36" s="128" t="str">
        <f>IF(L36=L39,"","Not same as equipment cost in tender datafrom!!")</f>
        <v>Not same as equipment cost in tender datafrom!!</v>
      </c>
    </row>
    <row r="37" spans="1:13" ht="15" thickBot="1">
      <c r="A37" s="107"/>
      <c r="B37" s="123"/>
      <c r="C37" s="375">
        <f>SUM(C36:F36)</f>
        <v>85036.08</v>
      </c>
      <c r="D37" s="376"/>
      <c r="E37" s="376"/>
      <c r="F37" s="377"/>
      <c r="G37" s="149"/>
      <c r="H37" s="149"/>
      <c r="I37" s="149"/>
      <c r="J37" s="149"/>
      <c r="K37" s="144"/>
      <c r="L37" s="145"/>
    </row>
    <row r="38" spans="1:13">
      <c r="C38" s="145"/>
      <c r="D38" s="145"/>
      <c r="E38" s="145"/>
      <c r="F38" s="145"/>
      <c r="G38" s="145">
        <f>DataForm!C42</f>
        <v>8312319.0614824397</v>
      </c>
      <c r="H38" s="145"/>
      <c r="I38" s="145"/>
      <c r="J38" s="145"/>
      <c r="K38" s="145">
        <f>DataForm!D42</f>
        <v>12151118.768926792</v>
      </c>
      <c r="L38" s="145"/>
    </row>
    <row r="39" spans="1:13">
      <c r="C39" s="145"/>
      <c r="D39" s="145"/>
      <c r="E39" s="145"/>
      <c r="F39" s="145"/>
      <c r="G39" s="145"/>
      <c r="H39" s="145"/>
      <c r="I39" s="145"/>
      <c r="J39" s="145"/>
      <c r="K39" s="145" t="s">
        <v>444</v>
      </c>
      <c r="L39" s="127">
        <f>DataForm!C42+DataForm!D42</f>
        <v>20463437.830409233</v>
      </c>
    </row>
  </sheetData>
  <sheetProtection sheet="1" objects="1" scenarios="1"/>
  <mergeCells count="8">
    <mergeCell ref="A31:L31"/>
    <mergeCell ref="C37:F37"/>
    <mergeCell ref="A1:L1"/>
    <mergeCell ref="C2:J2"/>
    <mergeCell ref="C3:G3"/>
    <mergeCell ref="I3:J3"/>
    <mergeCell ref="A5:L5"/>
    <mergeCell ref="A18:L18"/>
  </mergeCells>
  <conditionalFormatting sqref="L36">
    <cfRule type="cellIs" dxfId="2" priority="1" operator="notEqual">
      <formula>$L$39</formula>
    </cfRule>
  </conditionalFormatting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M39"/>
  <sheetViews>
    <sheetView workbookViewId="0">
      <pane ySplit="4" topLeftCell="A17" activePane="bottomLeft" state="frozen"/>
      <selection pane="bottomLeft" activeCell="C6" sqref="C6"/>
    </sheetView>
  </sheetViews>
  <sheetFormatPr defaultColWidth="9.109375" defaultRowHeight="14.4"/>
  <cols>
    <col min="1" max="1" width="29.44140625" style="146" bestFit="1" customWidth="1"/>
    <col min="2" max="2" width="22.33203125" style="146" customWidth="1"/>
    <col min="3" max="3" width="14.33203125" style="146" customWidth="1"/>
    <col min="4" max="4" width="13.88671875" style="146" customWidth="1"/>
    <col min="5" max="5" width="14.33203125" style="146" customWidth="1"/>
    <col min="6" max="6" width="11.6640625" style="146" customWidth="1"/>
    <col min="7" max="7" width="14.33203125" style="146" customWidth="1"/>
    <col min="8" max="10" width="11.6640625" style="146" customWidth="1"/>
    <col min="11" max="11" width="11.33203125" style="146" bestFit="1" customWidth="1"/>
    <col min="12" max="12" width="12.44140625" style="146" customWidth="1"/>
    <col min="13" max="16384" width="9.109375" style="146"/>
  </cols>
  <sheetData>
    <row r="1" spans="1:12" ht="15" thickBot="1">
      <c r="A1" s="378" t="s">
        <v>443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</row>
    <row r="2" spans="1:12">
      <c r="A2" s="114" t="s">
        <v>437</v>
      </c>
      <c r="B2" s="114"/>
      <c r="C2" s="380" t="s">
        <v>14</v>
      </c>
      <c r="D2" s="381"/>
      <c r="E2" s="381"/>
      <c r="F2" s="381"/>
      <c r="G2" s="381"/>
      <c r="H2" s="381"/>
      <c r="I2" s="381"/>
      <c r="J2" s="382"/>
      <c r="K2" s="117" t="s">
        <v>101</v>
      </c>
      <c r="L2" s="116" t="s">
        <v>146</v>
      </c>
    </row>
    <row r="3" spans="1:12">
      <c r="A3" s="114"/>
      <c r="B3" s="114"/>
      <c r="C3" s="383" t="s">
        <v>469</v>
      </c>
      <c r="D3" s="384"/>
      <c r="E3" s="384"/>
      <c r="F3" s="384"/>
      <c r="G3" s="385"/>
      <c r="H3" s="202" t="s">
        <v>104</v>
      </c>
      <c r="I3" s="386" t="s">
        <v>103</v>
      </c>
      <c r="J3" s="386"/>
      <c r="K3" s="200"/>
      <c r="L3" s="203"/>
    </row>
    <row r="4" spans="1:12" ht="15" thickBot="1">
      <c r="B4" s="115" t="s">
        <v>438</v>
      </c>
      <c r="C4" s="150" t="s">
        <v>433</v>
      </c>
      <c r="D4" s="151" t="s">
        <v>434</v>
      </c>
      <c r="E4" s="151" t="s">
        <v>435</v>
      </c>
      <c r="F4" s="152" t="s">
        <v>436</v>
      </c>
      <c r="G4" s="148" t="s">
        <v>456</v>
      </c>
      <c r="H4" s="197" t="s">
        <v>518</v>
      </c>
      <c r="I4" s="197" t="s">
        <v>12</v>
      </c>
      <c r="J4" s="197" t="s">
        <v>13</v>
      </c>
      <c r="K4" s="118"/>
      <c r="L4" s="203"/>
    </row>
    <row r="5" spans="1:12" ht="15" thickBot="1">
      <c r="A5" s="372" t="s">
        <v>424</v>
      </c>
      <c r="B5" s="373"/>
      <c r="C5" s="374"/>
      <c r="D5" s="374"/>
      <c r="E5" s="374"/>
      <c r="F5" s="374"/>
      <c r="G5" s="374"/>
      <c r="H5" s="374"/>
      <c r="I5" s="374"/>
      <c r="J5" s="374"/>
      <c r="K5" s="374"/>
      <c r="L5" s="373"/>
    </row>
    <row r="6" spans="1:12">
      <c r="A6" s="108" t="s">
        <v>1109</v>
      </c>
      <c r="B6" s="324" t="s">
        <v>1156</v>
      </c>
      <c r="C6" s="327">
        <f>2347243.2618049+131826.906885609-8-125000</f>
        <v>2354062.1686905092</v>
      </c>
      <c r="D6" s="328">
        <v>334492.84920399997</v>
      </c>
      <c r="E6" s="328">
        <v>2815545.0380666233</v>
      </c>
      <c r="F6" s="329">
        <v>222026.51415931605</v>
      </c>
      <c r="G6" s="131">
        <f t="shared" ref="G6:G16" si="0">C6+D6+E6+F6</f>
        <v>5726126.5701204482</v>
      </c>
      <c r="H6" s="336">
        <v>915819.00763037242</v>
      </c>
      <c r="I6" s="336">
        <v>905358.56851483381</v>
      </c>
      <c r="J6" s="336">
        <v>1990806.8860128629</v>
      </c>
      <c r="K6" s="337"/>
      <c r="L6" s="133">
        <f>G6+K6</f>
        <v>5726126.5701204482</v>
      </c>
    </row>
    <row r="7" spans="1:12">
      <c r="A7" s="349" t="s">
        <v>1110</v>
      </c>
      <c r="B7" s="350"/>
      <c r="C7" s="351"/>
      <c r="D7" s="352"/>
      <c r="E7" s="352"/>
      <c r="F7" s="353"/>
      <c r="G7" s="136">
        <f t="shared" si="0"/>
        <v>0</v>
      </c>
      <c r="H7" s="354"/>
      <c r="I7" s="354"/>
      <c r="J7" s="354"/>
      <c r="K7" s="355"/>
      <c r="L7" s="133">
        <f t="shared" ref="L7:L9" si="1">G7+K7</f>
        <v>0</v>
      </c>
    </row>
    <row r="8" spans="1:12">
      <c r="A8" s="349" t="s">
        <v>1111</v>
      </c>
      <c r="B8" s="350"/>
      <c r="C8" s="351"/>
      <c r="D8" s="352"/>
      <c r="E8" s="352"/>
      <c r="F8" s="353"/>
      <c r="G8" s="136">
        <f t="shared" si="0"/>
        <v>0</v>
      </c>
      <c r="H8" s="354"/>
      <c r="I8" s="354"/>
      <c r="J8" s="354"/>
      <c r="K8" s="355"/>
      <c r="L8" s="133">
        <f t="shared" si="1"/>
        <v>0</v>
      </c>
    </row>
    <row r="9" spans="1:12">
      <c r="A9" s="349" t="s">
        <v>1112</v>
      </c>
      <c r="B9" s="350"/>
      <c r="C9" s="351"/>
      <c r="D9" s="352"/>
      <c r="E9" s="352"/>
      <c r="F9" s="353"/>
      <c r="G9" s="136">
        <f t="shared" si="0"/>
        <v>0</v>
      </c>
      <c r="H9" s="354"/>
      <c r="I9" s="354"/>
      <c r="J9" s="354"/>
      <c r="K9" s="355"/>
      <c r="L9" s="133">
        <f t="shared" si="1"/>
        <v>0</v>
      </c>
    </row>
    <row r="10" spans="1:12">
      <c r="A10" s="109" t="s">
        <v>1113</v>
      </c>
      <c r="B10" s="325"/>
      <c r="C10" s="330"/>
      <c r="D10" s="331"/>
      <c r="E10" s="331"/>
      <c r="F10" s="332"/>
      <c r="G10" s="136">
        <f t="shared" si="0"/>
        <v>0</v>
      </c>
      <c r="H10" s="338"/>
      <c r="I10" s="338"/>
      <c r="J10" s="338"/>
      <c r="K10" s="339"/>
      <c r="L10" s="133">
        <f t="shared" ref="L10:L16" si="2">G10+K10</f>
        <v>0</v>
      </c>
    </row>
    <row r="11" spans="1:12">
      <c r="A11" s="109" t="s">
        <v>451</v>
      </c>
      <c r="B11" s="325" t="s">
        <v>1156</v>
      </c>
      <c r="C11" s="330">
        <v>275140.43620848644</v>
      </c>
      <c r="D11" s="331">
        <v>62673.88515681868</v>
      </c>
      <c r="E11" s="331">
        <v>117267.17505756956</v>
      </c>
      <c r="F11" s="332">
        <v>73772.659386240295</v>
      </c>
      <c r="G11" s="136">
        <f t="shared" si="0"/>
        <v>528854.15580911492</v>
      </c>
      <c r="H11" s="338">
        <v>43968.073591146254</v>
      </c>
      <c r="I11" s="338">
        <v>251280.35166876647</v>
      </c>
      <c r="J11" s="338">
        <v>151607.88320189179</v>
      </c>
      <c r="K11" s="339"/>
      <c r="L11" s="133">
        <f t="shared" si="2"/>
        <v>528854.15580911492</v>
      </c>
    </row>
    <row r="12" spans="1:12">
      <c r="A12" s="109" t="s">
        <v>450</v>
      </c>
      <c r="B12" s="325" t="s">
        <v>1156</v>
      </c>
      <c r="C12" s="330">
        <v>857500.99311843014</v>
      </c>
      <c r="D12" s="331">
        <v>66521.18703974958</v>
      </c>
      <c r="E12" s="331">
        <v>282038.91510362522</v>
      </c>
      <c r="F12" s="332">
        <v>211804.95380169395</v>
      </c>
      <c r="G12" s="136">
        <f t="shared" si="0"/>
        <v>1417866.0490634989</v>
      </c>
      <c r="H12" s="338">
        <v>137213.87688196453</v>
      </c>
      <c r="I12" s="338">
        <v>373312.93257225363</v>
      </c>
      <c r="J12" s="338">
        <v>975938.0568840499</v>
      </c>
      <c r="K12" s="339"/>
      <c r="L12" s="133">
        <f t="shared" si="2"/>
        <v>1417866.0490634989</v>
      </c>
    </row>
    <row r="13" spans="1:12">
      <c r="A13" s="109" t="s">
        <v>1114</v>
      </c>
      <c r="B13" s="325" t="s">
        <v>1157</v>
      </c>
      <c r="C13" s="330">
        <v>288947.63690588949</v>
      </c>
      <c r="D13" s="331">
        <v>114629.09602166832</v>
      </c>
      <c r="E13" s="331">
        <v>227505.48571674383</v>
      </c>
      <c r="F13" s="332">
        <v>55172.894730678323</v>
      </c>
      <c r="G13" s="136">
        <f t="shared" si="0"/>
        <v>686255.11337497993</v>
      </c>
      <c r="H13" s="338">
        <v>50950.195435429458</v>
      </c>
      <c r="I13" s="338">
        <v>365804.01221118396</v>
      </c>
      <c r="J13" s="338">
        <v>146113.30636662888</v>
      </c>
      <c r="K13" s="339"/>
      <c r="L13" s="133">
        <f t="shared" si="2"/>
        <v>686255.11337497993</v>
      </c>
    </row>
    <row r="14" spans="1:12">
      <c r="A14" s="109" t="s">
        <v>1115</v>
      </c>
      <c r="B14" s="325"/>
      <c r="C14" s="330"/>
      <c r="D14" s="331"/>
      <c r="E14" s="331"/>
      <c r="F14" s="332"/>
      <c r="G14" s="136">
        <f t="shared" si="0"/>
        <v>0</v>
      </c>
      <c r="H14" s="338"/>
      <c r="I14" s="338"/>
      <c r="J14" s="338"/>
      <c r="K14" s="339"/>
      <c r="L14" s="133">
        <f t="shared" si="2"/>
        <v>0</v>
      </c>
    </row>
    <row r="15" spans="1:12">
      <c r="A15" s="109" t="s">
        <v>1116</v>
      </c>
      <c r="B15" s="325"/>
      <c r="C15" s="330"/>
      <c r="D15" s="331"/>
      <c r="E15" s="331"/>
      <c r="F15" s="332"/>
      <c r="G15" s="136">
        <f t="shared" si="0"/>
        <v>0</v>
      </c>
      <c r="H15" s="338"/>
      <c r="I15" s="338"/>
      <c r="J15" s="338"/>
      <c r="K15" s="339"/>
      <c r="L15" s="133">
        <f t="shared" si="2"/>
        <v>0</v>
      </c>
    </row>
    <row r="16" spans="1:12" ht="15" thickBot="1">
      <c r="A16" s="110" t="s">
        <v>425</v>
      </c>
      <c r="B16" s="326"/>
      <c r="C16" s="333"/>
      <c r="D16" s="334"/>
      <c r="E16" s="334"/>
      <c r="F16" s="335"/>
      <c r="G16" s="140">
        <f t="shared" si="0"/>
        <v>0</v>
      </c>
      <c r="H16" s="340"/>
      <c r="I16" s="340"/>
      <c r="J16" s="340"/>
      <c r="K16" s="341"/>
      <c r="L16" s="133">
        <f t="shared" si="2"/>
        <v>0</v>
      </c>
    </row>
    <row r="17" spans="1:12">
      <c r="A17" s="111"/>
      <c r="B17" s="111"/>
      <c r="C17" s="113"/>
      <c r="D17" s="113"/>
      <c r="E17" s="113"/>
      <c r="F17" s="113"/>
      <c r="G17" s="113"/>
      <c r="H17" s="113"/>
      <c r="I17" s="113"/>
      <c r="J17" s="113"/>
      <c r="K17" s="104"/>
      <c r="L17" s="105"/>
    </row>
    <row r="18" spans="1:12" ht="15" thickBot="1">
      <c r="A18" s="372" t="s">
        <v>426</v>
      </c>
      <c r="B18" s="373"/>
      <c r="C18" s="374"/>
      <c r="D18" s="374"/>
      <c r="E18" s="374"/>
      <c r="F18" s="374"/>
      <c r="G18" s="374"/>
      <c r="H18" s="374"/>
      <c r="I18" s="374"/>
      <c r="J18" s="374"/>
      <c r="K18" s="374"/>
      <c r="L18" s="373"/>
    </row>
    <row r="19" spans="1:12">
      <c r="A19" s="108" t="s">
        <v>427</v>
      </c>
      <c r="B19" s="324"/>
      <c r="C19" s="327" t="s">
        <v>1157</v>
      </c>
      <c r="D19" s="328"/>
      <c r="E19" s="328"/>
      <c r="F19" s="329"/>
      <c r="G19" s="131">
        <f t="shared" ref="G19:G29" si="3">C19+D19+E19+F19</f>
        <v>2</v>
      </c>
      <c r="H19" s="336"/>
      <c r="I19" s="336"/>
      <c r="J19" s="336"/>
      <c r="K19" s="337">
        <v>573464.61331978627</v>
      </c>
      <c r="L19" s="133">
        <f>G19+K19</f>
        <v>573466.61331978627</v>
      </c>
    </row>
    <row r="20" spans="1:12">
      <c r="A20" s="109" t="s">
        <v>428</v>
      </c>
      <c r="B20" s="325"/>
      <c r="C20" s="330"/>
      <c r="D20" s="331"/>
      <c r="E20" s="331"/>
      <c r="F20" s="332"/>
      <c r="G20" s="136">
        <f t="shared" si="3"/>
        <v>0</v>
      </c>
      <c r="H20" s="338"/>
      <c r="I20" s="338"/>
      <c r="J20" s="338"/>
      <c r="K20" s="339"/>
      <c r="L20" s="133">
        <f t="shared" ref="L20:L29" si="4">G20+K20</f>
        <v>0</v>
      </c>
    </row>
    <row r="21" spans="1:12">
      <c r="A21" s="109" t="s">
        <v>429</v>
      </c>
      <c r="B21" s="325"/>
      <c r="C21" s="330" t="s">
        <v>1157</v>
      </c>
      <c r="D21" s="331"/>
      <c r="E21" s="331"/>
      <c r="F21" s="332"/>
      <c r="G21" s="136">
        <f t="shared" si="3"/>
        <v>2</v>
      </c>
      <c r="H21" s="338"/>
      <c r="I21" s="338"/>
      <c r="J21" s="338"/>
      <c r="K21" s="339">
        <v>955774.35553297715</v>
      </c>
      <c r="L21" s="133">
        <f t="shared" si="4"/>
        <v>955776.35553297715</v>
      </c>
    </row>
    <row r="22" spans="1:12">
      <c r="A22" s="109" t="s">
        <v>430</v>
      </c>
      <c r="B22" s="325"/>
      <c r="C22" s="330" t="s">
        <v>1162</v>
      </c>
      <c r="D22" s="331"/>
      <c r="E22" s="331"/>
      <c r="F22" s="332"/>
      <c r="G22" s="136">
        <f t="shared" si="3"/>
        <v>3</v>
      </c>
      <c r="H22" s="338"/>
      <c r="I22" s="338"/>
      <c r="J22" s="338"/>
      <c r="K22" s="339">
        <v>382309.74221319088</v>
      </c>
      <c r="L22" s="133">
        <f t="shared" si="4"/>
        <v>382312.74221319088</v>
      </c>
    </row>
    <row r="23" spans="1:12">
      <c r="A23" s="109" t="s">
        <v>431</v>
      </c>
      <c r="B23" s="325"/>
      <c r="C23" s="330" t="s">
        <v>1156</v>
      </c>
      <c r="D23" s="331"/>
      <c r="E23" s="331"/>
      <c r="F23" s="332"/>
      <c r="G23" s="136">
        <f t="shared" si="3"/>
        <v>1</v>
      </c>
      <c r="H23" s="338"/>
      <c r="I23" s="338"/>
      <c r="J23" s="338"/>
      <c r="K23" s="339">
        <v>380109.04811871366</v>
      </c>
      <c r="L23" s="133">
        <f t="shared" si="4"/>
        <v>380110.04811871366</v>
      </c>
    </row>
    <row r="24" spans="1:12">
      <c r="A24" s="109" t="s">
        <v>459</v>
      </c>
      <c r="B24" s="342"/>
      <c r="C24" s="343"/>
      <c r="D24" s="344"/>
      <c r="E24" s="344"/>
      <c r="F24" s="345"/>
      <c r="G24" s="136">
        <f t="shared" si="3"/>
        <v>0</v>
      </c>
      <c r="H24" s="346"/>
      <c r="I24" s="346"/>
      <c r="J24" s="346"/>
      <c r="K24" s="347"/>
      <c r="L24" s="133">
        <f t="shared" si="4"/>
        <v>0</v>
      </c>
    </row>
    <row r="25" spans="1:12">
      <c r="A25" s="109" t="s">
        <v>460</v>
      </c>
      <c r="B25" s="342"/>
      <c r="C25" s="343"/>
      <c r="D25" s="344"/>
      <c r="E25" s="344"/>
      <c r="F25" s="345"/>
      <c r="G25" s="136">
        <f t="shared" si="3"/>
        <v>0</v>
      </c>
      <c r="H25" s="346"/>
      <c r="I25" s="346"/>
      <c r="J25" s="346"/>
      <c r="K25" s="347"/>
      <c r="L25" s="133">
        <f t="shared" si="4"/>
        <v>0</v>
      </c>
    </row>
    <row r="26" spans="1:12">
      <c r="A26" s="109" t="s">
        <v>461</v>
      </c>
      <c r="B26" s="342"/>
      <c r="C26" s="343"/>
      <c r="D26" s="344"/>
      <c r="E26" s="344"/>
      <c r="F26" s="345"/>
      <c r="G26" s="136">
        <f t="shared" si="3"/>
        <v>0</v>
      </c>
      <c r="H26" s="346"/>
      <c r="I26" s="346"/>
      <c r="J26" s="346"/>
      <c r="K26" s="347"/>
      <c r="L26" s="133">
        <f t="shared" si="4"/>
        <v>0</v>
      </c>
    </row>
    <row r="27" spans="1:12">
      <c r="A27" s="109" t="s">
        <v>462</v>
      </c>
      <c r="B27" s="342"/>
      <c r="C27" s="343"/>
      <c r="D27" s="344"/>
      <c r="E27" s="344"/>
      <c r="F27" s="345"/>
      <c r="G27" s="136">
        <f t="shared" si="3"/>
        <v>0</v>
      </c>
      <c r="H27" s="346"/>
      <c r="I27" s="346"/>
      <c r="J27" s="346"/>
      <c r="K27" s="347"/>
      <c r="L27" s="133">
        <f t="shared" si="4"/>
        <v>0</v>
      </c>
    </row>
    <row r="28" spans="1:12">
      <c r="A28" s="109" t="s">
        <v>463</v>
      </c>
      <c r="B28" s="342"/>
      <c r="C28" s="343"/>
      <c r="D28" s="344"/>
      <c r="E28" s="344"/>
      <c r="F28" s="345"/>
      <c r="G28" s="136">
        <f t="shared" si="3"/>
        <v>0</v>
      </c>
      <c r="H28" s="346"/>
      <c r="I28" s="346"/>
      <c r="J28" s="346"/>
      <c r="K28" s="347"/>
      <c r="L28" s="133">
        <f t="shared" si="4"/>
        <v>0</v>
      </c>
    </row>
    <row r="29" spans="1:12" ht="15" thickBot="1">
      <c r="A29" s="109" t="s">
        <v>432</v>
      </c>
      <c r="B29" s="342"/>
      <c r="C29" s="333"/>
      <c r="D29" s="334"/>
      <c r="E29" s="334"/>
      <c r="F29" s="335"/>
      <c r="G29" s="140">
        <f t="shared" si="3"/>
        <v>0</v>
      </c>
      <c r="H29" s="340"/>
      <c r="I29" s="340"/>
      <c r="J29" s="340"/>
      <c r="K29" s="341"/>
      <c r="L29" s="133">
        <f t="shared" si="4"/>
        <v>0</v>
      </c>
    </row>
    <row r="30" spans="1:12">
      <c r="A30" s="111"/>
      <c r="B30" s="111"/>
      <c r="C30" s="113"/>
      <c r="D30" s="113"/>
      <c r="E30" s="113"/>
      <c r="F30" s="113"/>
      <c r="G30" s="113"/>
      <c r="H30" s="113"/>
      <c r="I30" s="113"/>
      <c r="J30" s="113"/>
      <c r="K30" s="104"/>
      <c r="L30" s="105"/>
    </row>
    <row r="31" spans="1:12" ht="15" thickBot="1">
      <c r="A31" s="372" t="s">
        <v>15</v>
      </c>
      <c r="B31" s="373"/>
      <c r="C31" s="374"/>
      <c r="D31" s="374"/>
      <c r="E31" s="374"/>
      <c r="F31" s="374"/>
      <c r="G31" s="374"/>
      <c r="H31" s="374"/>
      <c r="I31" s="374"/>
      <c r="J31" s="374"/>
      <c r="K31" s="374"/>
      <c r="L31" s="373"/>
    </row>
    <row r="32" spans="1:12">
      <c r="A32" s="109" t="s">
        <v>421</v>
      </c>
      <c r="B32" s="325"/>
      <c r="C32" s="327"/>
      <c r="D32" s="328"/>
      <c r="E32" s="328"/>
      <c r="F32" s="329"/>
      <c r="G32" s="131">
        <f>C32+D32+E32+F32</f>
        <v>0</v>
      </c>
      <c r="H32" s="336"/>
      <c r="I32" s="336"/>
      <c r="J32" s="336"/>
      <c r="K32" s="337"/>
      <c r="L32" s="133">
        <f>G32+K32</f>
        <v>0</v>
      </c>
    </row>
    <row r="33" spans="1:13">
      <c r="A33" s="109" t="s">
        <v>457</v>
      </c>
      <c r="B33" s="325"/>
      <c r="C33" s="330"/>
      <c r="D33" s="331"/>
      <c r="E33" s="331"/>
      <c r="F33" s="332"/>
      <c r="G33" s="136">
        <f>C33+D33+E33+F33</f>
        <v>0</v>
      </c>
      <c r="H33" s="338"/>
      <c r="I33" s="338"/>
      <c r="J33" s="338"/>
      <c r="K33" s="339"/>
      <c r="L33" s="133">
        <f t="shared" ref="L33:L34" si="5">G33+K33</f>
        <v>0</v>
      </c>
    </row>
    <row r="34" spans="1:13" ht="14.25" customHeight="1" thickBot="1">
      <c r="A34" s="109" t="s">
        <v>458</v>
      </c>
      <c r="B34" s="342"/>
      <c r="C34" s="333"/>
      <c r="D34" s="334"/>
      <c r="E34" s="334"/>
      <c r="F34" s="335"/>
      <c r="G34" s="140">
        <f>C34+D34+E34+F34</f>
        <v>0</v>
      </c>
      <c r="H34" s="340"/>
      <c r="I34" s="340"/>
      <c r="J34" s="340"/>
      <c r="K34" s="341"/>
      <c r="L34" s="133">
        <f t="shared" si="5"/>
        <v>0</v>
      </c>
    </row>
    <row r="35" spans="1:13" ht="15" thickBot="1">
      <c r="A35" s="112"/>
      <c r="B35" s="123"/>
      <c r="C35" s="124"/>
      <c r="D35" s="124"/>
      <c r="E35" s="124"/>
      <c r="F35" s="124"/>
      <c r="G35" s="124"/>
      <c r="H35" s="124"/>
      <c r="I35" s="124"/>
      <c r="J35" s="124"/>
      <c r="K35" s="124"/>
      <c r="L35" s="125"/>
    </row>
    <row r="36" spans="1:13" ht="15" thickBot="1">
      <c r="A36" s="106" t="s">
        <v>422</v>
      </c>
      <c r="B36" s="126"/>
      <c r="C36" s="142">
        <f t="shared" ref="C36:F36" si="6">C32+C29+C23+C22+C21+C20+C19+C6+C10+C11+C12+C13+C14+C15+C16+C33+C34+C28+C27+C26+C25+C24+C7+C8+C9</f>
        <v>3775659.2349233152</v>
      </c>
      <c r="D36" s="142">
        <f t="shared" si="6"/>
        <v>578317.0174222365</v>
      </c>
      <c r="E36" s="142">
        <f t="shared" si="6"/>
        <v>3442356.6139445617</v>
      </c>
      <c r="F36" s="142">
        <f t="shared" si="6"/>
        <v>562777.02207792865</v>
      </c>
      <c r="G36" s="142">
        <f>G32+G29+G23+G22+G21+G20+G19+G6+G10+G11+G12+G13+G14+G15+G16+G33+G34+G28+G27+G26+G25+G24+G7+G8+G9</f>
        <v>8359109.8883680422</v>
      </c>
      <c r="H36" s="199"/>
      <c r="I36" s="199"/>
      <c r="J36" s="199"/>
      <c r="K36" s="142">
        <f>K32+K29+K23+K22+K21+K20+K19+K6+K10+K11+K12+K13+K14+K15+K16+K33+K34+K28+K27+K26+K25+K24+K7+K8+K9</f>
        <v>2291657.7591846678</v>
      </c>
      <c r="L36" s="143">
        <f>K36+G36</f>
        <v>10650767.64755271</v>
      </c>
      <c r="M36" s="128" t="str">
        <f>IF(L36=L39,"","Not same as equipment cost in tender datafrom!!")</f>
        <v>Not same as equipment cost in tender datafrom!!</v>
      </c>
    </row>
    <row r="37" spans="1:13" ht="15" thickBot="1">
      <c r="A37" s="107"/>
      <c r="B37" s="123"/>
      <c r="C37" s="375">
        <f>SUM(C36:F36)</f>
        <v>8359109.8883680413</v>
      </c>
      <c r="D37" s="376"/>
      <c r="E37" s="376"/>
      <c r="F37" s="377"/>
      <c r="G37" s="149"/>
      <c r="H37" s="149"/>
      <c r="I37" s="149"/>
      <c r="J37" s="149"/>
      <c r="K37" s="144"/>
      <c r="L37" s="145"/>
    </row>
    <row r="38" spans="1:13">
      <c r="C38" s="145"/>
      <c r="D38" s="145"/>
      <c r="E38" s="145"/>
      <c r="F38" s="145"/>
      <c r="G38" s="145"/>
      <c r="H38" s="145"/>
      <c r="I38" s="145"/>
      <c r="J38" s="145"/>
      <c r="K38" s="145"/>
      <c r="L38" s="145"/>
    </row>
    <row r="39" spans="1:13">
      <c r="C39" s="145"/>
      <c r="D39" s="145"/>
      <c r="E39" s="145"/>
      <c r="F39" s="145"/>
      <c r="G39" s="145"/>
      <c r="H39" s="145"/>
      <c r="I39" s="145"/>
      <c r="J39" s="145"/>
      <c r="K39" s="145" t="s">
        <v>444</v>
      </c>
      <c r="L39" s="127">
        <f>DataForm!C42+DataForm!D42</f>
        <v>20463437.830409233</v>
      </c>
    </row>
  </sheetData>
  <sheetProtection sheet="1" objects="1" scenarios="1"/>
  <mergeCells count="8">
    <mergeCell ref="A31:L31"/>
    <mergeCell ref="C37:F37"/>
    <mergeCell ref="A1:L1"/>
    <mergeCell ref="C2:J2"/>
    <mergeCell ref="C3:G3"/>
    <mergeCell ref="I3:J3"/>
    <mergeCell ref="A5:L5"/>
    <mergeCell ref="A18:L18"/>
  </mergeCells>
  <conditionalFormatting sqref="L36">
    <cfRule type="cellIs" dxfId="1" priority="1" operator="notEqual">
      <formula>$L$39</formula>
    </cfRule>
  </conditionalFormatting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6" tint="0.39997558519241921"/>
    <pageSetUpPr fitToPage="1"/>
  </sheetPr>
  <dimension ref="A1:M40"/>
  <sheetViews>
    <sheetView workbookViewId="0">
      <pane ySplit="4" topLeftCell="A5" activePane="bottomLeft" state="frozen"/>
      <selection pane="bottomLeft" activeCell="L40" sqref="L40"/>
    </sheetView>
  </sheetViews>
  <sheetFormatPr defaultColWidth="9.109375" defaultRowHeight="14.4"/>
  <cols>
    <col min="1" max="1" width="29.44140625" style="146" bestFit="1" customWidth="1"/>
    <col min="2" max="2" width="22.33203125" style="146" customWidth="1"/>
    <col min="3" max="3" width="14.33203125" style="146" customWidth="1"/>
    <col min="4" max="4" width="13.88671875" style="146" customWidth="1"/>
    <col min="5" max="5" width="14.33203125" style="146" customWidth="1"/>
    <col min="6" max="6" width="11.6640625" style="146" customWidth="1"/>
    <col min="7" max="7" width="14.33203125" style="146" customWidth="1"/>
    <col min="8" max="10" width="11.6640625" style="146" customWidth="1"/>
    <col min="11" max="11" width="11.33203125" style="146" bestFit="1" customWidth="1"/>
    <col min="12" max="12" width="12.44140625" style="146" customWidth="1"/>
    <col min="13" max="16384" width="9.109375" style="146"/>
  </cols>
  <sheetData>
    <row r="1" spans="1:12" ht="15" thickBot="1">
      <c r="A1" s="378" t="s">
        <v>443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</row>
    <row r="2" spans="1:12">
      <c r="A2" s="114" t="s">
        <v>437</v>
      </c>
      <c r="B2" s="114"/>
      <c r="C2" s="380" t="s">
        <v>14</v>
      </c>
      <c r="D2" s="381"/>
      <c r="E2" s="381"/>
      <c r="F2" s="381"/>
      <c r="G2" s="381"/>
      <c r="H2" s="381"/>
      <c r="I2" s="381"/>
      <c r="J2" s="382"/>
      <c r="K2" s="117" t="s">
        <v>101</v>
      </c>
      <c r="L2" s="116" t="s">
        <v>146</v>
      </c>
    </row>
    <row r="3" spans="1:12">
      <c r="A3" s="114"/>
      <c r="B3" s="114"/>
      <c r="C3" s="383" t="s">
        <v>469</v>
      </c>
      <c r="D3" s="384"/>
      <c r="E3" s="384"/>
      <c r="F3" s="384"/>
      <c r="G3" s="385"/>
      <c r="H3" s="202" t="s">
        <v>104</v>
      </c>
      <c r="I3" s="386" t="s">
        <v>103</v>
      </c>
      <c r="J3" s="386"/>
      <c r="K3" s="200"/>
      <c r="L3" s="203"/>
    </row>
    <row r="4" spans="1:12" ht="15" thickBot="1">
      <c r="B4" s="115" t="s">
        <v>438</v>
      </c>
      <c r="C4" s="150" t="s">
        <v>433</v>
      </c>
      <c r="D4" s="151" t="s">
        <v>434</v>
      </c>
      <c r="E4" s="151" t="s">
        <v>435</v>
      </c>
      <c r="F4" s="152" t="s">
        <v>436</v>
      </c>
      <c r="G4" s="148" t="s">
        <v>456</v>
      </c>
      <c r="H4" s="197" t="s">
        <v>518</v>
      </c>
      <c r="I4" s="197" t="s">
        <v>12</v>
      </c>
      <c r="J4" s="197" t="s">
        <v>13</v>
      </c>
      <c r="K4" s="118"/>
      <c r="L4" s="203"/>
    </row>
    <row r="5" spans="1:12" ht="15" thickBot="1">
      <c r="A5" s="372" t="s">
        <v>424</v>
      </c>
      <c r="B5" s="373"/>
      <c r="C5" s="374"/>
      <c r="D5" s="374"/>
      <c r="E5" s="374"/>
      <c r="F5" s="374"/>
      <c r="G5" s="374"/>
      <c r="H5" s="374"/>
      <c r="I5" s="374"/>
      <c r="J5" s="374"/>
      <c r="K5" s="374"/>
      <c r="L5" s="373"/>
    </row>
    <row r="6" spans="1:12">
      <c r="A6" s="108" t="s">
        <v>1109</v>
      </c>
      <c r="B6" s="119">
        <f>Equipment_CostEstimators!B6+Equipment_DredgingEstimators!B6</f>
        <v>1</v>
      </c>
      <c r="C6" s="129">
        <f>Equipment_CostEstimators!C6+Equipment_DredgingEstimators!C6</f>
        <v>2354062.1686905092</v>
      </c>
      <c r="D6" s="130">
        <f>Equipment_CostEstimators!D6+Equipment_DredgingEstimators!D6</f>
        <v>334492.84920399997</v>
      </c>
      <c r="E6" s="130">
        <f>Equipment_CostEstimators!E6+Equipment_DredgingEstimators!E6</f>
        <v>2815545.0380666233</v>
      </c>
      <c r="F6" s="131">
        <f>Equipment_CostEstimators!F6+Equipment_DredgingEstimators!F6</f>
        <v>222026.51415931605</v>
      </c>
      <c r="G6" s="131">
        <f t="shared" ref="G6:G16" si="0">C6+D6+E6+F6</f>
        <v>5726126.5701204482</v>
      </c>
      <c r="H6" s="194">
        <f>Equipment_CostEstimators!H6+Equipment_DredgingEstimators!H6</f>
        <v>915819.00763037242</v>
      </c>
      <c r="I6" s="194">
        <f>Equipment_CostEstimators!I6+Equipment_DredgingEstimators!I6</f>
        <v>905358.56851483381</v>
      </c>
      <c r="J6" s="194">
        <f>Equipment_CostEstimators!J6+Equipment_DredgingEstimators!J6</f>
        <v>1990806.8860128629</v>
      </c>
      <c r="K6" s="132">
        <f>Equipment_CostEstimators!K6+Equipment_DredgingEstimators!K6</f>
        <v>0</v>
      </c>
      <c r="L6" s="133">
        <f>G6+K6</f>
        <v>5726126.5701204482</v>
      </c>
    </row>
    <row r="7" spans="1:12">
      <c r="A7" s="349" t="s">
        <v>1110</v>
      </c>
      <c r="B7" s="120">
        <f>Equipment_CostEstimators!B7+Equipment_DredgingEstimators!B7</f>
        <v>0</v>
      </c>
      <c r="C7" s="134">
        <f>Equipment_CostEstimators!C7+Equipment_DredgingEstimators!C7</f>
        <v>0</v>
      </c>
      <c r="D7" s="135">
        <f>Equipment_CostEstimators!D7+Equipment_DredgingEstimators!D7</f>
        <v>0</v>
      </c>
      <c r="E7" s="135">
        <f>Equipment_CostEstimators!E7+Equipment_DredgingEstimators!E7</f>
        <v>0</v>
      </c>
      <c r="F7" s="136">
        <f>Equipment_CostEstimators!F7+Equipment_DredgingEstimators!F7</f>
        <v>0</v>
      </c>
      <c r="G7" s="136">
        <f t="shared" ref="G7:G9" si="1">C7+D7+E7+F7</f>
        <v>0</v>
      </c>
      <c r="H7" s="195">
        <f>Equipment_CostEstimators!H7+Equipment_DredgingEstimators!H7</f>
        <v>0</v>
      </c>
      <c r="I7" s="195">
        <f>Equipment_CostEstimators!I7+Equipment_DredgingEstimators!I7</f>
        <v>0</v>
      </c>
      <c r="J7" s="195">
        <f>Equipment_CostEstimators!J7+Equipment_DredgingEstimators!J7</f>
        <v>0</v>
      </c>
      <c r="K7" s="137">
        <f>Equipment_CostEstimators!K7+Equipment_DredgingEstimators!K7</f>
        <v>0</v>
      </c>
      <c r="L7" s="133">
        <f t="shared" ref="L7:L9" si="2">G7+K7</f>
        <v>0</v>
      </c>
    </row>
    <row r="8" spans="1:12">
      <c r="A8" s="349" t="s">
        <v>1111</v>
      </c>
      <c r="B8" s="120">
        <f>Equipment_CostEstimators!B8+Equipment_DredgingEstimators!B8</f>
        <v>0</v>
      </c>
      <c r="C8" s="134">
        <f>Equipment_CostEstimators!C8+Equipment_DredgingEstimators!C8</f>
        <v>0</v>
      </c>
      <c r="D8" s="135">
        <f>Equipment_CostEstimators!D8+Equipment_DredgingEstimators!D8</f>
        <v>0</v>
      </c>
      <c r="E8" s="135">
        <f>Equipment_CostEstimators!E8+Equipment_DredgingEstimators!E8</f>
        <v>0</v>
      </c>
      <c r="F8" s="136">
        <f>Equipment_CostEstimators!F8+Equipment_DredgingEstimators!F8</f>
        <v>0</v>
      </c>
      <c r="G8" s="136">
        <f t="shared" si="1"/>
        <v>0</v>
      </c>
      <c r="H8" s="195">
        <f>Equipment_CostEstimators!H8+Equipment_DredgingEstimators!H8</f>
        <v>0</v>
      </c>
      <c r="I8" s="195">
        <f>Equipment_CostEstimators!I8+Equipment_DredgingEstimators!I8</f>
        <v>0</v>
      </c>
      <c r="J8" s="195">
        <f>Equipment_CostEstimators!J8+Equipment_DredgingEstimators!J8</f>
        <v>0</v>
      </c>
      <c r="K8" s="137">
        <f>Equipment_CostEstimators!K8+Equipment_DredgingEstimators!K8</f>
        <v>0</v>
      </c>
      <c r="L8" s="133">
        <f t="shared" si="2"/>
        <v>0</v>
      </c>
    </row>
    <row r="9" spans="1:12">
      <c r="A9" s="349" t="s">
        <v>1112</v>
      </c>
      <c r="B9" s="120">
        <f>Equipment_CostEstimators!B9+Equipment_DredgingEstimators!B9</f>
        <v>0</v>
      </c>
      <c r="C9" s="134">
        <f>Equipment_CostEstimators!C9+Equipment_DredgingEstimators!C9</f>
        <v>0</v>
      </c>
      <c r="D9" s="135">
        <f>Equipment_CostEstimators!D9+Equipment_DredgingEstimators!D9</f>
        <v>0</v>
      </c>
      <c r="E9" s="135">
        <f>Equipment_CostEstimators!E9+Equipment_DredgingEstimators!E9</f>
        <v>0</v>
      </c>
      <c r="F9" s="136">
        <f>Equipment_CostEstimators!F9+Equipment_DredgingEstimators!F9</f>
        <v>0</v>
      </c>
      <c r="G9" s="136">
        <f t="shared" si="1"/>
        <v>0</v>
      </c>
      <c r="H9" s="195">
        <f>Equipment_CostEstimators!H9+Equipment_DredgingEstimators!H9</f>
        <v>0</v>
      </c>
      <c r="I9" s="195">
        <f>Equipment_CostEstimators!I9+Equipment_DredgingEstimators!I9</f>
        <v>0</v>
      </c>
      <c r="J9" s="195">
        <f>Equipment_CostEstimators!J9+Equipment_DredgingEstimators!J9</f>
        <v>0</v>
      </c>
      <c r="K9" s="137">
        <f>Equipment_CostEstimators!K9+Equipment_DredgingEstimators!K9</f>
        <v>0</v>
      </c>
      <c r="L9" s="133">
        <f t="shared" si="2"/>
        <v>0</v>
      </c>
    </row>
    <row r="10" spans="1:12">
      <c r="A10" s="109" t="s">
        <v>1113</v>
      </c>
      <c r="B10" s="120">
        <f>Equipment_CostEstimators!B10+Equipment_DredgingEstimators!B10</f>
        <v>0</v>
      </c>
      <c r="C10" s="134">
        <f>Equipment_CostEstimators!C10+Equipment_DredgingEstimators!C10</f>
        <v>0</v>
      </c>
      <c r="D10" s="135">
        <f>Equipment_CostEstimators!D10+Equipment_DredgingEstimators!D10</f>
        <v>0</v>
      </c>
      <c r="E10" s="135">
        <f>Equipment_CostEstimators!E10+Equipment_DredgingEstimators!E10</f>
        <v>0</v>
      </c>
      <c r="F10" s="136">
        <f>Equipment_CostEstimators!F10+Equipment_DredgingEstimators!F10</f>
        <v>0</v>
      </c>
      <c r="G10" s="136">
        <f t="shared" si="0"/>
        <v>0</v>
      </c>
      <c r="H10" s="195">
        <f>Equipment_CostEstimators!H10+Equipment_DredgingEstimators!H10</f>
        <v>0</v>
      </c>
      <c r="I10" s="195">
        <f>Equipment_CostEstimators!I10+Equipment_DredgingEstimators!I10</f>
        <v>0</v>
      </c>
      <c r="J10" s="195">
        <f>Equipment_CostEstimators!J10+Equipment_DredgingEstimators!J10</f>
        <v>0</v>
      </c>
      <c r="K10" s="137">
        <f>Equipment_CostEstimators!K10+Equipment_DredgingEstimators!K10</f>
        <v>0</v>
      </c>
      <c r="L10" s="133">
        <f t="shared" ref="L10:L16" si="3">G10+K10</f>
        <v>0</v>
      </c>
    </row>
    <row r="11" spans="1:12">
      <c r="A11" s="109" t="s">
        <v>451</v>
      </c>
      <c r="B11" s="122">
        <f>Equipment_CostEstimators!B11+Equipment_DredgingEstimators!B11</f>
        <v>1</v>
      </c>
      <c r="C11" s="134">
        <f>Equipment_CostEstimators!C11+Equipment_DredgingEstimators!C11</f>
        <v>275140.43620848644</v>
      </c>
      <c r="D11" s="135">
        <f>Equipment_CostEstimators!D11+Equipment_DredgingEstimators!D11</f>
        <v>62673.88515681868</v>
      </c>
      <c r="E11" s="135">
        <f>Equipment_CostEstimators!E11+Equipment_DredgingEstimators!E11</f>
        <v>117267.17505756956</v>
      </c>
      <c r="F11" s="136">
        <f>Equipment_CostEstimators!F11+Equipment_DredgingEstimators!F11</f>
        <v>73772.659386240295</v>
      </c>
      <c r="G11" s="136">
        <f t="shared" si="0"/>
        <v>528854.15580911492</v>
      </c>
      <c r="H11" s="195">
        <f>Equipment_CostEstimators!H11+Equipment_DredgingEstimators!H11</f>
        <v>43968.073591146254</v>
      </c>
      <c r="I11" s="195">
        <f>Equipment_CostEstimators!I11+Equipment_DredgingEstimators!I11</f>
        <v>251280.35166876647</v>
      </c>
      <c r="J11" s="195">
        <f>Equipment_CostEstimators!J11+Equipment_DredgingEstimators!J11</f>
        <v>151607.88320189179</v>
      </c>
      <c r="K11" s="137">
        <f>Equipment_CostEstimators!K11+Equipment_DredgingEstimators!K11</f>
        <v>0</v>
      </c>
      <c r="L11" s="133">
        <f t="shared" si="3"/>
        <v>528854.15580911492</v>
      </c>
    </row>
    <row r="12" spans="1:12">
      <c r="A12" s="109" t="s">
        <v>450</v>
      </c>
      <c r="B12" s="120">
        <f>Equipment_CostEstimators!B12+Equipment_DredgingEstimators!B12</f>
        <v>3</v>
      </c>
      <c r="C12" s="134">
        <f>Equipment_CostEstimators!C12+Equipment_DredgingEstimators!C12</f>
        <v>857500.99311843014</v>
      </c>
      <c r="D12" s="135">
        <f>Equipment_CostEstimators!D12+Equipment_DredgingEstimators!D12</f>
        <v>66521.18703974958</v>
      </c>
      <c r="E12" s="135">
        <f>Equipment_CostEstimators!E12+Equipment_DredgingEstimators!E12</f>
        <v>282038.91510362522</v>
      </c>
      <c r="F12" s="136">
        <f>Equipment_CostEstimators!F12+Equipment_DredgingEstimators!F12</f>
        <v>211804.95380169395</v>
      </c>
      <c r="G12" s="136">
        <f t="shared" si="0"/>
        <v>1417866.0490634989</v>
      </c>
      <c r="H12" s="195">
        <f>Equipment_CostEstimators!H12+Equipment_DredgingEstimators!H12</f>
        <v>137213.87688196453</v>
      </c>
      <c r="I12" s="195">
        <f>Equipment_CostEstimators!I12+Equipment_DredgingEstimators!I12</f>
        <v>373312.93257225363</v>
      </c>
      <c r="J12" s="195">
        <f>Equipment_CostEstimators!J12+Equipment_DredgingEstimators!J12</f>
        <v>975938.0568840499</v>
      </c>
      <c r="K12" s="137">
        <f>Equipment_CostEstimators!K12+Equipment_DredgingEstimators!K12</f>
        <v>723696.50586652744</v>
      </c>
      <c r="L12" s="133">
        <f t="shared" si="3"/>
        <v>2141562.5549300262</v>
      </c>
    </row>
    <row r="13" spans="1:12">
      <c r="A13" s="109" t="s">
        <v>1114</v>
      </c>
      <c r="B13" s="120">
        <f>Equipment_CostEstimators!B13+Equipment_DredgingEstimators!B13</f>
        <v>3</v>
      </c>
      <c r="C13" s="134">
        <f>Equipment_CostEstimators!C13+Equipment_DredgingEstimators!C13</f>
        <v>310302.35690588946</v>
      </c>
      <c r="D13" s="135">
        <f>Equipment_CostEstimators!D13+Equipment_DredgingEstimators!D13</f>
        <v>117823.73602166832</v>
      </c>
      <c r="E13" s="135">
        <f>Equipment_CostEstimators!E13+Equipment_DredgingEstimators!E13</f>
        <v>242148.60571674383</v>
      </c>
      <c r="F13" s="136">
        <f>Equipment_CostEstimators!F13+Equipment_DredgingEstimators!F13</f>
        <v>58538.894730678323</v>
      </c>
      <c r="G13" s="136">
        <f t="shared" si="0"/>
        <v>728813.59337497992</v>
      </c>
      <c r="H13" s="195">
        <f>Equipment_CostEstimators!H13+Equipment_DredgingEstimators!H13</f>
        <v>53512.435435429456</v>
      </c>
      <c r="I13" s="195">
        <f>Equipment_CostEstimators!I13+Equipment_DredgingEstimators!I13</f>
        <v>380793.93221118394</v>
      </c>
      <c r="J13" s="195">
        <f>Equipment_CostEstimators!J13+Equipment_DredgingEstimators!J13</f>
        <v>146113.30636662888</v>
      </c>
      <c r="K13" s="137">
        <f>Equipment_CostEstimators!K13+Equipment_DredgingEstimators!K13</f>
        <v>0</v>
      </c>
      <c r="L13" s="133">
        <f t="shared" si="3"/>
        <v>728813.59337497992</v>
      </c>
    </row>
    <row r="14" spans="1:12">
      <c r="A14" s="109" t="s">
        <v>1115</v>
      </c>
      <c r="B14" s="120">
        <f>Equipment_CostEstimators!B14+Equipment_DredgingEstimators!B14</f>
        <v>0</v>
      </c>
      <c r="C14" s="134">
        <f>Equipment_CostEstimators!C14+Equipment_DredgingEstimators!C14</f>
        <v>0</v>
      </c>
      <c r="D14" s="135">
        <f>Equipment_CostEstimators!D14+Equipment_DredgingEstimators!D14</f>
        <v>0</v>
      </c>
      <c r="E14" s="135">
        <f>Equipment_CostEstimators!E14+Equipment_DredgingEstimators!E14</f>
        <v>0</v>
      </c>
      <c r="F14" s="136">
        <f>Equipment_CostEstimators!F14+Equipment_DredgingEstimators!F14</f>
        <v>0</v>
      </c>
      <c r="G14" s="136">
        <f t="shared" si="0"/>
        <v>0</v>
      </c>
      <c r="H14" s="195">
        <f>Equipment_CostEstimators!H14+Equipment_DredgingEstimators!H14</f>
        <v>0</v>
      </c>
      <c r="I14" s="195">
        <f>Equipment_CostEstimators!I14+Equipment_DredgingEstimators!I14</f>
        <v>0</v>
      </c>
      <c r="J14" s="195">
        <f>Equipment_CostEstimators!J14+Equipment_DredgingEstimators!J14</f>
        <v>0</v>
      </c>
      <c r="K14" s="137">
        <f>Equipment_CostEstimators!K14+Equipment_DredgingEstimators!K14</f>
        <v>0</v>
      </c>
      <c r="L14" s="133">
        <f t="shared" si="3"/>
        <v>0</v>
      </c>
    </row>
    <row r="15" spans="1:12">
      <c r="A15" s="109" t="s">
        <v>1116</v>
      </c>
      <c r="B15" s="120">
        <f>Equipment_CostEstimators!B15+Equipment_DredgingEstimators!B15</f>
        <v>2</v>
      </c>
      <c r="C15" s="134">
        <f>Equipment_CostEstimators!C15+Equipment_DredgingEstimators!C15</f>
        <v>0</v>
      </c>
      <c r="D15" s="135">
        <f>Equipment_CostEstimators!D15+Equipment_DredgingEstimators!D15</f>
        <v>0</v>
      </c>
      <c r="E15" s="135">
        <f>Equipment_CostEstimators!E15+Equipment_DredgingEstimators!E15</f>
        <v>0</v>
      </c>
      <c r="F15" s="136">
        <f>Equipment_CostEstimators!F15+Equipment_DredgingEstimators!F15</f>
        <v>0</v>
      </c>
      <c r="G15" s="136">
        <f t="shared" si="0"/>
        <v>0</v>
      </c>
      <c r="H15" s="195">
        <f>Equipment_CostEstimators!H15+Equipment_DredgingEstimators!H15</f>
        <v>0</v>
      </c>
      <c r="I15" s="195">
        <f>Equipment_CostEstimators!I15+Equipment_DredgingEstimators!I15</f>
        <v>0</v>
      </c>
      <c r="J15" s="195">
        <f>Equipment_CostEstimators!J15+Equipment_DredgingEstimators!J15</f>
        <v>0</v>
      </c>
      <c r="K15" s="137">
        <f>Equipment_CostEstimators!K15+Equipment_DredgingEstimators!K15</f>
        <v>578957.20469322312</v>
      </c>
      <c r="L15" s="133">
        <f t="shared" si="3"/>
        <v>578957.20469322312</v>
      </c>
    </row>
    <row r="16" spans="1:12" ht="15" thickBot="1">
      <c r="A16" s="110" t="s">
        <v>425</v>
      </c>
      <c r="B16" s="121">
        <f>Equipment_CostEstimators!B16+Equipment_DredgingEstimators!B16</f>
        <v>0</v>
      </c>
      <c r="C16" s="138">
        <f>Equipment_CostEstimators!C16+Equipment_DredgingEstimators!C16</f>
        <v>0</v>
      </c>
      <c r="D16" s="139">
        <f>Equipment_CostEstimators!D16+Equipment_DredgingEstimators!D16</f>
        <v>0</v>
      </c>
      <c r="E16" s="139">
        <f>Equipment_CostEstimators!E16+Equipment_DredgingEstimators!E16</f>
        <v>0</v>
      </c>
      <c r="F16" s="140">
        <f>Equipment_CostEstimators!F16+Equipment_DredgingEstimators!F16</f>
        <v>0</v>
      </c>
      <c r="G16" s="140">
        <f t="shared" si="0"/>
        <v>0</v>
      </c>
      <c r="H16" s="196">
        <f>Equipment_CostEstimators!H16+Equipment_DredgingEstimators!H16</f>
        <v>0</v>
      </c>
      <c r="I16" s="196">
        <f>Equipment_CostEstimators!I16+Equipment_DredgingEstimators!I16</f>
        <v>0</v>
      </c>
      <c r="J16" s="196">
        <f>Equipment_CostEstimators!J16+Equipment_DredgingEstimators!J16</f>
        <v>0</v>
      </c>
      <c r="K16" s="141">
        <f>Equipment_CostEstimators!K16+Equipment_DredgingEstimators!K16</f>
        <v>0</v>
      </c>
      <c r="L16" s="133">
        <f t="shared" si="3"/>
        <v>0</v>
      </c>
    </row>
    <row r="17" spans="1:12">
      <c r="A17" s="111"/>
      <c r="B17" s="111"/>
      <c r="C17" s="113"/>
      <c r="D17" s="113"/>
      <c r="E17" s="113"/>
      <c r="F17" s="113"/>
      <c r="G17" s="113"/>
      <c r="H17" s="113"/>
      <c r="I17" s="113"/>
      <c r="J17" s="113"/>
      <c r="K17" s="104"/>
      <c r="L17" s="105"/>
    </row>
    <row r="18" spans="1:12" ht="15" thickBot="1">
      <c r="A18" s="372" t="s">
        <v>426</v>
      </c>
      <c r="B18" s="373"/>
      <c r="C18" s="374"/>
      <c r="D18" s="374"/>
      <c r="E18" s="374"/>
      <c r="F18" s="374"/>
      <c r="G18" s="374"/>
      <c r="H18" s="374"/>
      <c r="I18" s="374"/>
      <c r="J18" s="374"/>
      <c r="K18" s="374"/>
      <c r="L18" s="373"/>
    </row>
    <row r="19" spans="1:12">
      <c r="A19" s="108" t="s">
        <v>427</v>
      </c>
      <c r="B19" s="119">
        <f>Equipment_CostEstimators!B19+Equipment_DredgingEstimators!B19</f>
        <v>7</v>
      </c>
      <c r="C19" s="129">
        <f>Equipment_CostEstimators!C19+Equipment_DredgingEstimators!C19</f>
        <v>2</v>
      </c>
      <c r="D19" s="130">
        <f>Equipment_CostEstimators!D19+Equipment_DredgingEstimators!D19</f>
        <v>0</v>
      </c>
      <c r="E19" s="130">
        <f>Equipment_CostEstimators!E19+Equipment_DredgingEstimators!E19</f>
        <v>0</v>
      </c>
      <c r="F19" s="131">
        <f>Equipment_CostEstimators!F19+Equipment_DredgingEstimators!F19</f>
        <v>0</v>
      </c>
      <c r="G19" s="131">
        <f t="shared" ref="G19:G29" si="4">C19+D19+E19+F19</f>
        <v>2</v>
      </c>
      <c r="H19" s="194">
        <f>Equipment_CostEstimators!H19+Equipment_DredgingEstimators!H19</f>
        <v>0</v>
      </c>
      <c r="I19" s="194">
        <f>Equipment_CostEstimators!I19+Equipment_DredgingEstimators!I19</f>
        <v>0</v>
      </c>
      <c r="J19" s="194">
        <f>Equipment_CostEstimators!J19+Equipment_DredgingEstimators!J19</f>
        <v>0</v>
      </c>
      <c r="K19" s="132">
        <f>Equipment_CostEstimators!K19+Equipment_DredgingEstimators!K19</f>
        <v>1974148.7820935841</v>
      </c>
      <c r="L19" s="133">
        <f>G19+K19</f>
        <v>1974150.7820935841</v>
      </c>
    </row>
    <row r="20" spans="1:12">
      <c r="A20" s="109" t="s">
        <v>428</v>
      </c>
      <c r="B20" s="120">
        <f>Equipment_CostEstimators!B20+Equipment_DredgingEstimators!B20</f>
        <v>2</v>
      </c>
      <c r="C20" s="134">
        <f>Equipment_CostEstimators!C20+Equipment_DredgingEstimators!C20</f>
        <v>0</v>
      </c>
      <c r="D20" s="135">
        <f>Equipment_CostEstimators!D20+Equipment_DredgingEstimators!D20</f>
        <v>0</v>
      </c>
      <c r="E20" s="135">
        <f>Equipment_CostEstimators!E20+Equipment_DredgingEstimators!E20</f>
        <v>0</v>
      </c>
      <c r="F20" s="136">
        <f>Equipment_CostEstimators!F20+Equipment_DredgingEstimators!F20</f>
        <v>0</v>
      </c>
      <c r="G20" s="136">
        <f t="shared" si="4"/>
        <v>0</v>
      </c>
      <c r="H20" s="195">
        <f>Equipment_CostEstimators!H20+Equipment_DredgingEstimators!H20</f>
        <v>0</v>
      </c>
      <c r="I20" s="195">
        <f>Equipment_CostEstimators!I20+Equipment_DredgingEstimators!I20</f>
        <v>0</v>
      </c>
      <c r="J20" s="195">
        <f>Equipment_CostEstimators!J20+Equipment_DredgingEstimators!J20</f>
        <v>0</v>
      </c>
      <c r="K20" s="137">
        <f>Equipment_CostEstimators!K20+Equipment_DredgingEstimators!K20</f>
        <v>1164837.8758310408</v>
      </c>
      <c r="L20" s="133">
        <f t="shared" ref="L20:L29" si="5">G20+K20</f>
        <v>1164837.8758310408</v>
      </c>
    </row>
    <row r="21" spans="1:12">
      <c r="A21" s="109" t="s">
        <v>429</v>
      </c>
      <c r="B21" s="120">
        <f>Equipment_CostEstimators!B21+Equipment_DredgingEstimators!B21</f>
        <v>2</v>
      </c>
      <c r="C21" s="134">
        <f>Equipment_CostEstimators!C21+Equipment_DredgingEstimators!C21</f>
        <v>2</v>
      </c>
      <c r="D21" s="135">
        <f>Equipment_CostEstimators!D21+Equipment_DredgingEstimators!D21</f>
        <v>0</v>
      </c>
      <c r="E21" s="135">
        <f>Equipment_CostEstimators!E21+Equipment_DredgingEstimators!E21</f>
        <v>0</v>
      </c>
      <c r="F21" s="136">
        <f>Equipment_CostEstimators!F21+Equipment_DredgingEstimators!F21</f>
        <v>0</v>
      </c>
      <c r="G21" s="136">
        <f t="shared" si="4"/>
        <v>2</v>
      </c>
      <c r="H21" s="195">
        <f>Equipment_CostEstimators!H21+Equipment_DredgingEstimators!H21</f>
        <v>0</v>
      </c>
      <c r="I21" s="195">
        <f>Equipment_CostEstimators!I21+Equipment_DredgingEstimators!I21</f>
        <v>0</v>
      </c>
      <c r="J21" s="195">
        <f>Equipment_CostEstimators!J21+Equipment_DredgingEstimators!J21</f>
        <v>0</v>
      </c>
      <c r="K21" s="137">
        <f>Equipment_CostEstimators!K21+Equipment_DredgingEstimators!K21</f>
        <v>1286488.8120840592</v>
      </c>
      <c r="L21" s="133">
        <f t="shared" si="5"/>
        <v>1286490.8120840592</v>
      </c>
    </row>
    <row r="22" spans="1:12">
      <c r="A22" s="109" t="s">
        <v>430</v>
      </c>
      <c r="B22" s="120">
        <f>Equipment_CostEstimators!B22+Equipment_DredgingEstimators!B22</f>
        <v>4</v>
      </c>
      <c r="C22" s="134">
        <f>Equipment_CostEstimators!C22+Equipment_DredgingEstimators!C22</f>
        <v>3</v>
      </c>
      <c r="D22" s="135">
        <f>Equipment_CostEstimators!D22+Equipment_DredgingEstimators!D22</f>
        <v>0</v>
      </c>
      <c r="E22" s="135">
        <f>Equipment_CostEstimators!E22+Equipment_DredgingEstimators!E22</f>
        <v>0</v>
      </c>
      <c r="F22" s="136">
        <f>Equipment_CostEstimators!F22+Equipment_DredgingEstimators!F22</f>
        <v>0</v>
      </c>
      <c r="G22" s="136">
        <f t="shared" si="4"/>
        <v>3</v>
      </c>
      <c r="H22" s="195">
        <f>Equipment_CostEstimators!H22+Equipment_DredgingEstimators!H22</f>
        <v>0</v>
      </c>
      <c r="I22" s="195">
        <f>Equipment_CostEstimators!I22+Equipment_DredgingEstimators!I22</f>
        <v>0</v>
      </c>
      <c r="J22" s="195">
        <f>Equipment_CostEstimators!J22+Equipment_DredgingEstimators!J22</f>
        <v>0</v>
      </c>
      <c r="K22" s="137">
        <f>Equipment_CostEstimators!K22+Equipment_DredgingEstimators!K22</f>
        <v>923931.75132569519</v>
      </c>
      <c r="L22" s="133">
        <f t="shared" si="5"/>
        <v>923934.75132569519</v>
      </c>
    </row>
    <row r="23" spans="1:12">
      <c r="A23" s="109" t="s">
        <v>431</v>
      </c>
      <c r="B23" s="120">
        <f>Equipment_CostEstimators!B23+Equipment_DredgingEstimators!B23</f>
        <v>16</v>
      </c>
      <c r="C23" s="134">
        <f>Equipment_CostEstimators!C23+Equipment_DredgingEstimators!C23</f>
        <v>1</v>
      </c>
      <c r="D23" s="135">
        <f>Equipment_CostEstimators!D23+Equipment_DredgingEstimators!D23</f>
        <v>0</v>
      </c>
      <c r="E23" s="135">
        <f>Equipment_CostEstimators!E23+Equipment_DredgingEstimators!E23</f>
        <v>0</v>
      </c>
      <c r="F23" s="136">
        <f>Equipment_CostEstimators!F23+Equipment_DredgingEstimators!F23</f>
        <v>0</v>
      </c>
      <c r="G23" s="136">
        <f t="shared" si="4"/>
        <v>1</v>
      </c>
      <c r="H23" s="195">
        <f>Equipment_CostEstimators!H23+Equipment_DredgingEstimators!H23</f>
        <v>0</v>
      </c>
      <c r="I23" s="195">
        <f>Equipment_CostEstimators!I23+Equipment_DredgingEstimators!I23</f>
        <v>0</v>
      </c>
      <c r="J23" s="195">
        <f>Equipment_CostEstimators!J23+Equipment_DredgingEstimators!J23</f>
        <v>0</v>
      </c>
      <c r="K23" s="137">
        <f>Equipment_CostEstimators!K23+Equipment_DredgingEstimators!K23</f>
        <v>1472276.2912718402</v>
      </c>
      <c r="L23" s="133">
        <f t="shared" si="5"/>
        <v>1472277.2912718402</v>
      </c>
    </row>
    <row r="24" spans="1:12">
      <c r="A24" s="109" t="s">
        <v>459</v>
      </c>
      <c r="B24" s="122">
        <f>Equipment_CostEstimators!B24+Equipment_DredgingEstimators!B24</f>
        <v>1</v>
      </c>
      <c r="C24" s="158">
        <f>Equipment_CostEstimators!C24+Equipment_DredgingEstimators!C24</f>
        <v>0</v>
      </c>
      <c r="D24" s="159">
        <f>Equipment_CostEstimators!D24+Equipment_DredgingEstimators!D24</f>
        <v>0</v>
      </c>
      <c r="E24" s="159">
        <f>Equipment_CostEstimators!E24+Equipment_DredgingEstimators!E24</f>
        <v>0</v>
      </c>
      <c r="F24" s="160">
        <f>Equipment_CostEstimators!F24+Equipment_DredgingEstimators!F24</f>
        <v>0</v>
      </c>
      <c r="G24" s="136">
        <f t="shared" si="4"/>
        <v>0</v>
      </c>
      <c r="H24" s="198">
        <f>Equipment_CostEstimators!H24+Equipment_DredgingEstimators!H24</f>
        <v>0</v>
      </c>
      <c r="I24" s="198">
        <f>Equipment_CostEstimators!I24+Equipment_DredgingEstimators!I24</f>
        <v>0</v>
      </c>
      <c r="J24" s="198">
        <f>Equipment_CostEstimators!J24+Equipment_DredgingEstimators!J24</f>
        <v>0</v>
      </c>
      <c r="K24" s="161">
        <f>Equipment_CostEstimators!K24+Equipment_DredgingEstimators!K24</f>
        <v>168000</v>
      </c>
      <c r="L24" s="133">
        <f t="shared" si="5"/>
        <v>168000</v>
      </c>
    </row>
    <row r="25" spans="1:12">
      <c r="A25" s="109" t="s">
        <v>460</v>
      </c>
      <c r="B25" s="122">
        <f>Equipment_CostEstimators!B25+Equipment_DredgingEstimators!B25</f>
        <v>1</v>
      </c>
      <c r="C25" s="158">
        <f>Equipment_CostEstimators!C25+Equipment_DredgingEstimators!C25</f>
        <v>0</v>
      </c>
      <c r="D25" s="159">
        <f>Equipment_CostEstimators!D25+Equipment_DredgingEstimators!D25</f>
        <v>0</v>
      </c>
      <c r="E25" s="159">
        <f>Equipment_CostEstimators!E25+Equipment_DredgingEstimators!E25</f>
        <v>0</v>
      </c>
      <c r="F25" s="160">
        <f>Equipment_CostEstimators!F25+Equipment_DredgingEstimators!F25</f>
        <v>0</v>
      </c>
      <c r="G25" s="136">
        <f t="shared" si="4"/>
        <v>0</v>
      </c>
      <c r="H25" s="198">
        <f>Equipment_CostEstimators!H25+Equipment_DredgingEstimators!H25</f>
        <v>0</v>
      </c>
      <c r="I25" s="198">
        <f>Equipment_CostEstimators!I25+Equipment_DredgingEstimators!I25</f>
        <v>0</v>
      </c>
      <c r="J25" s="198">
        <f>Equipment_CostEstimators!J25+Equipment_DredgingEstimators!J25</f>
        <v>0</v>
      </c>
      <c r="K25" s="161">
        <f>Equipment_CostEstimators!K25+Equipment_DredgingEstimators!K25</f>
        <v>349782.4</v>
      </c>
      <c r="L25" s="133">
        <f t="shared" si="5"/>
        <v>349782.4</v>
      </c>
    </row>
    <row r="26" spans="1:12">
      <c r="A26" s="109" t="s">
        <v>461</v>
      </c>
      <c r="B26" s="122">
        <f>Equipment_CostEstimators!B26+Equipment_DredgingEstimators!B26</f>
        <v>4</v>
      </c>
      <c r="C26" s="158">
        <f>Equipment_CostEstimators!C26+Equipment_DredgingEstimators!C26</f>
        <v>0</v>
      </c>
      <c r="D26" s="159">
        <f>Equipment_CostEstimators!D26+Equipment_DredgingEstimators!D26</f>
        <v>0</v>
      </c>
      <c r="E26" s="159">
        <f>Equipment_CostEstimators!E26+Equipment_DredgingEstimators!E26</f>
        <v>0</v>
      </c>
      <c r="F26" s="160">
        <f>Equipment_CostEstimators!F26+Equipment_DredgingEstimators!F26</f>
        <v>0</v>
      </c>
      <c r="G26" s="136">
        <f t="shared" si="4"/>
        <v>0</v>
      </c>
      <c r="H26" s="198">
        <f>Equipment_CostEstimators!H26+Equipment_DredgingEstimators!H26</f>
        <v>0</v>
      </c>
      <c r="I26" s="198">
        <f>Equipment_CostEstimators!I26+Equipment_DredgingEstimators!I26</f>
        <v>0</v>
      </c>
      <c r="J26" s="198">
        <f>Equipment_CostEstimators!J26+Equipment_DredgingEstimators!J26</f>
        <v>0</v>
      </c>
      <c r="K26" s="161">
        <f>Equipment_CostEstimators!K26+Equipment_DredgingEstimators!K26</f>
        <v>1064315.0746666698</v>
      </c>
      <c r="L26" s="133">
        <f t="shared" si="5"/>
        <v>1064315.0746666698</v>
      </c>
    </row>
    <row r="27" spans="1:12">
      <c r="A27" s="109" t="s">
        <v>462</v>
      </c>
      <c r="B27" s="122">
        <f>Equipment_CostEstimators!B27+Equipment_DredgingEstimators!B27</f>
        <v>2</v>
      </c>
      <c r="C27" s="158">
        <f>Equipment_CostEstimators!C27+Equipment_DredgingEstimators!C27</f>
        <v>0</v>
      </c>
      <c r="D27" s="159">
        <f>Equipment_CostEstimators!D27+Equipment_DredgingEstimators!D27</f>
        <v>0</v>
      </c>
      <c r="E27" s="159">
        <f>Equipment_CostEstimators!E27+Equipment_DredgingEstimators!E27</f>
        <v>0</v>
      </c>
      <c r="F27" s="160">
        <f>Equipment_CostEstimators!F27+Equipment_DredgingEstimators!F27</f>
        <v>0</v>
      </c>
      <c r="G27" s="136">
        <f t="shared" si="4"/>
        <v>0</v>
      </c>
      <c r="H27" s="198">
        <f>Equipment_CostEstimators!H27+Equipment_DredgingEstimators!H27</f>
        <v>0</v>
      </c>
      <c r="I27" s="198">
        <f>Equipment_CostEstimators!I27+Equipment_DredgingEstimators!I27</f>
        <v>0</v>
      </c>
      <c r="J27" s="198">
        <f>Equipment_CostEstimators!J27+Equipment_DredgingEstimators!J27</f>
        <v>0</v>
      </c>
      <c r="K27" s="161">
        <f>Equipment_CostEstimators!K27+Equipment_DredgingEstimators!K27</f>
        <v>99254.52</v>
      </c>
      <c r="L27" s="133">
        <f t="shared" si="5"/>
        <v>99254.52</v>
      </c>
    </row>
    <row r="28" spans="1:12">
      <c r="A28" s="109" t="s">
        <v>463</v>
      </c>
      <c r="B28" s="122">
        <f>Equipment_CostEstimators!B28+Equipment_DredgingEstimators!B28</f>
        <v>5</v>
      </c>
      <c r="C28" s="158">
        <f>Equipment_CostEstimators!C28+Equipment_DredgingEstimators!C28</f>
        <v>0</v>
      </c>
      <c r="D28" s="159">
        <f>Equipment_CostEstimators!D28+Equipment_DredgingEstimators!D28</f>
        <v>0</v>
      </c>
      <c r="E28" s="159">
        <f>Equipment_CostEstimators!E28+Equipment_DredgingEstimators!E28</f>
        <v>0</v>
      </c>
      <c r="F28" s="160">
        <f>Equipment_CostEstimators!F28+Equipment_DredgingEstimators!F28</f>
        <v>0</v>
      </c>
      <c r="G28" s="136">
        <f t="shared" si="4"/>
        <v>0</v>
      </c>
      <c r="H28" s="198">
        <f>Equipment_CostEstimators!H28+Equipment_DredgingEstimators!H28</f>
        <v>0</v>
      </c>
      <c r="I28" s="198">
        <f>Equipment_CostEstimators!I28+Equipment_DredgingEstimators!I28</f>
        <v>0</v>
      </c>
      <c r="J28" s="198">
        <f>Equipment_CostEstimators!J28+Equipment_DredgingEstimators!J28</f>
        <v>0</v>
      </c>
      <c r="K28" s="161">
        <f>Equipment_CostEstimators!K28+Equipment_DredgingEstimators!K28</f>
        <v>1257345</v>
      </c>
      <c r="L28" s="133">
        <f t="shared" si="5"/>
        <v>1257345</v>
      </c>
    </row>
    <row r="29" spans="1:12" ht="15" thickBot="1">
      <c r="A29" s="109" t="s">
        <v>432</v>
      </c>
      <c r="B29" s="122">
        <f>Equipment_CostEstimators!B29+Equipment_DredgingEstimators!B29</f>
        <v>0</v>
      </c>
      <c r="C29" s="138">
        <f>Equipment_CostEstimators!C29+Equipment_DredgingEstimators!C29</f>
        <v>0</v>
      </c>
      <c r="D29" s="139">
        <f>Equipment_CostEstimators!D29+Equipment_DredgingEstimators!D29</f>
        <v>0</v>
      </c>
      <c r="E29" s="139">
        <f>Equipment_CostEstimators!E29+Equipment_DredgingEstimators!E29</f>
        <v>0</v>
      </c>
      <c r="F29" s="140">
        <f>Equipment_CostEstimators!F29+Equipment_DredgingEstimators!F29</f>
        <v>0</v>
      </c>
      <c r="G29" s="140">
        <f t="shared" si="4"/>
        <v>0</v>
      </c>
      <c r="H29" s="196">
        <f>Equipment_CostEstimators!H29+Equipment_DredgingEstimators!H29</f>
        <v>0</v>
      </c>
      <c r="I29" s="196">
        <f>Equipment_CostEstimators!I29+Equipment_DredgingEstimators!I29</f>
        <v>0</v>
      </c>
      <c r="J29" s="196">
        <f>Equipment_CostEstimators!J29+Equipment_DredgingEstimators!J29</f>
        <v>0</v>
      </c>
      <c r="K29" s="141">
        <f>Equipment_CostEstimators!K29+Equipment_DredgingEstimators!K29</f>
        <v>490043.88420853938</v>
      </c>
      <c r="L29" s="133">
        <f t="shared" si="5"/>
        <v>490043.88420853938</v>
      </c>
    </row>
    <row r="30" spans="1:12">
      <c r="A30" s="111"/>
      <c r="B30" s="111"/>
      <c r="C30" s="113"/>
      <c r="D30" s="113"/>
      <c r="E30" s="113"/>
      <c r="F30" s="113"/>
      <c r="G30" s="113"/>
      <c r="H30" s="113"/>
      <c r="I30" s="113"/>
      <c r="J30" s="113"/>
      <c r="K30" s="104"/>
      <c r="L30" s="105"/>
    </row>
    <row r="31" spans="1:12" ht="15" thickBot="1">
      <c r="A31" s="372" t="s">
        <v>15</v>
      </c>
      <c r="B31" s="373"/>
      <c r="C31" s="374"/>
      <c r="D31" s="374"/>
      <c r="E31" s="374"/>
      <c r="F31" s="374"/>
      <c r="G31" s="374"/>
      <c r="H31" s="374"/>
      <c r="I31" s="374"/>
      <c r="J31" s="374"/>
      <c r="K31" s="374"/>
      <c r="L31" s="373"/>
    </row>
    <row r="32" spans="1:12">
      <c r="A32" s="109" t="s">
        <v>421</v>
      </c>
      <c r="B32" s="120">
        <f>Equipment_CostEstimators!B32+Equipment_DredgingEstimators!B32</f>
        <v>0</v>
      </c>
      <c r="C32" s="129">
        <f>Equipment_CostEstimators!C32+Equipment_DredgingEstimators!C32</f>
        <v>0</v>
      </c>
      <c r="D32" s="130">
        <f>Equipment_CostEstimators!D32+Equipment_DredgingEstimators!D32</f>
        <v>0</v>
      </c>
      <c r="E32" s="130">
        <f>Equipment_CostEstimators!E32+Equipment_DredgingEstimators!E32</f>
        <v>0</v>
      </c>
      <c r="F32" s="131">
        <f>Equipment_CostEstimators!F32+Equipment_DredgingEstimators!F32</f>
        <v>0</v>
      </c>
      <c r="G32" s="131">
        <f t="shared" ref="G32:G34" si="6">C32+D32+E32+F32</f>
        <v>0</v>
      </c>
      <c r="H32" s="194">
        <f>Equipment_CostEstimators!H32+Equipment_DredgingEstimators!H32</f>
        <v>0</v>
      </c>
      <c r="I32" s="194">
        <f>Equipment_CostEstimators!I32+Equipment_DredgingEstimators!I32</f>
        <v>0</v>
      </c>
      <c r="J32" s="194">
        <f>Equipment_CostEstimators!J32+Equipment_DredgingEstimators!J32</f>
        <v>0</v>
      </c>
      <c r="K32" s="132">
        <f>Equipment_CostEstimators!K32+Equipment_DredgingEstimators!K32</f>
        <v>0</v>
      </c>
      <c r="L32" s="133">
        <f>G32+K32</f>
        <v>0</v>
      </c>
    </row>
    <row r="33" spans="1:13">
      <c r="A33" s="109" t="s">
        <v>457</v>
      </c>
      <c r="B33" s="120">
        <f>Equipment_CostEstimators!B33+Equipment_DredgingEstimators!B33</f>
        <v>0</v>
      </c>
      <c r="C33" s="134">
        <f>Equipment_CostEstimators!C33+Equipment_DredgingEstimators!C33</f>
        <v>21914.400000000001</v>
      </c>
      <c r="D33" s="135">
        <f>Equipment_CostEstimators!D33+Equipment_DredgingEstimators!D33</f>
        <v>4557.6000000000004</v>
      </c>
      <c r="E33" s="135">
        <f>Equipment_CostEstimators!E33+Equipment_DredgingEstimators!E33</f>
        <v>11904</v>
      </c>
      <c r="F33" s="136">
        <f>Equipment_CostEstimators!F33+Equipment_DredgingEstimators!F33</f>
        <v>4101.6000000000004</v>
      </c>
      <c r="G33" s="136">
        <f t="shared" si="6"/>
        <v>42477.599999999999</v>
      </c>
      <c r="H33" s="195">
        <f>Equipment_CostEstimators!H33+Equipment_DredgingEstimators!H33</f>
        <v>3232.8</v>
      </c>
      <c r="I33" s="195">
        <f>Equipment_CostEstimators!I33+Equipment_DredgingEstimators!I33</f>
        <v>17635.2</v>
      </c>
      <c r="J33" s="195">
        <f>Equipment_CostEstimators!J33+Equipment_DredgingEstimators!J33</f>
        <v>48507.6</v>
      </c>
      <c r="K33" s="137">
        <f>Equipment_CostEstimators!K33+Equipment_DredgingEstimators!K33</f>
        <v>132122.88</v>
      </c>
      <c r="L33" s="133">
        <f t="shared" ref="L33:L34" si="7">G33+K33</f>
        <v>174600.48</v>
      </c>
    </row>
    <row r="34" spans="1:13" ht="14.25" customHeight="1" thickBot="1">
      <c r="A34" s="109" t="s">
        <v>458</v>
      </c>
      <c r="B34" s="122">
        <f>Equipment_CostEstimators!B34+Equipment_DredgingEstimators!B34</f>
        <v>0</v>
      </c>
      <c r="C34" s="138">
        <f>Equipment_CostEstimators!C34+Equipment_DredgingEstimators!C34</f>
        <v>0</v>
      </c>
      <c r="D34" s="139">
        <f>Equipment_CostEstimators!D34+Equipment_DredgingEstimators!D34</f>
        <v>0</v>
      </c>
      <c r="E34" s="139">
        <f>Equipment_CostEstimators!E34+Equipment_DredgingEstimators!E34</f>
        <v>0</v>
      </c>
      <c r="F34" s="140">
        <f>Equipment_CostEstimators!F34+Equipment_DredgingEstimators!F34</f>
        <v>0</v>
      </c>
      <c r="G34" s="140">
        <f t="shared" si="6"/>
        <v>0</v>
      </c>
      <c r="H34" s="196">
        <f>Equipment_CostEstimators!H34+Equipment_DredgingEstimators!H34</f>
        <v>0</v>
      </c>
      <c r="I34" s="196">
        <f>Equipment_CostEstimators!I34+Equipment_DredgingEstimators!I34</f>
        <v>0</v>
      </c>
      <c r="J34" s="196">
        <f>Equipment_CostEstimators!J34+Equipment_DredgingEstimators!J34</f>
        <v>0</v>
      </c>
      <c r="K34" s="141">
        <f>Equipment_CostEstimators!K34+Equipment_DredgingEstimators!K34</f>
        <v>334090.88</v>
      </c>
      <c r="L34" s="133">
        <f t="shared" si="7"/>
        <v>334090.88</v>
      </c>
    </row>
    <row r="35" spans="1:13" ht="15" thickBot="1">
      <c r="A35" s="112"/>
      <c r="B35" s="123"/>
      <c r="C35" s="124"/>
      <c r="D35" s="124"/>
      <c r="E35" s="124"/>
      <c r="F35" s="124"/>
      <c r="G35" s="124"/>
      <c r="H35" s="124"/>
      <c r="I35" s="124"/>
      <c r="J35" s="124"/>
      <c r="K35" s="124"/>
      <c r="L35" s="125"/>
    </row>
    <row r="36" spans="1:13" ht="15" thickBot="1">
      <c r="A36" s="106" t="s">
        <v>422</v>
      </c>
      <c r="B36" s="126"/>
      <c r="C36" s="142">
        <f t="shared" ref="C36:F36" si="8">C32+C29+C23+C22+C21+C20+C19+C6+C10+C11+C12+C13+C14+C15+C16+C33+C34+C28+C27+C26+C25+C24+C9+C8+C7</f>
        <v>3818928.3549233149</v>
      </c>
      <c r="D36" s="142">
        <f t="shared" si="8"/>
        <v>586069.25742223649</v>
      </c>
      <c r="E36" s="142">
        <f t="shared" si="8"/>
        <v>3468903.7339445618</v>
      </c>
      <c r="F36" s="142">
        <f t="shared" si="8"/>
        <v>570244.62207792862</v>
      </c>
      <c r="G36" s="142">
        <f>G32+G29+G23+G22+G21+G20+G19+G6+G10+G11+G12+G13+G14+G15+G16+G33+G34+G28+G27+G26+G25+G24+G9+G8+G7</f>
        <v>8444145.9683680423</v>
      </c>
      <c r="H36" s="199"/>
      <c r="I36" s="199"/>
      <c r="J36" s="199"/>
      <c r="K36" s="142">
        <f>K32+K29+K23+K22+K21+K20+K19+K6+K10+K11+K12+K13+K14+K15+K16+K33+K34+K28+K27+K26+K25+K24+K9+K8+K7</f>
        <v>12019291.862041181</v>
      </c>
      <c r="L36" s="143">
        <f>K36+G36</f>
        <v>20463437.830409221</v>
      </c>
      <c r="M36" s="128" t="str">
        <f>IF(L36=L39,"","Not same as equipment cost in tender datafrom!!")</f>
        <v/>
      </c>
    </row>
    <row r="37" spans="1:13" ht="15" thickBot="1">
      <c r="A37" s="107"/>
      <c r="B37" s="123"/>
      <c r="C37" s="375">
        <f>SUM(C36:F36)</f>
        <v>8444145.9683680423</v>
      </c>
      <c r="D37" s="376"/>
      <c r="E37" s="376"/>
      <c r="F37" s="377"/>
      <c r="G37" s="149"/>
      <c r="H37" s="149"/>
      <c r="I37" s="149"/>
      <c r="J37" s="149"/>
      <c r="K37" s="144"/>
      <c r="L37" s="145"/>
    </row>
    <row r="38" spans="1:13">
      <c r="C38" s="145"/>
      <c r="D38" s="145"/>
      <c r="E38" s="145"/>
      <c r="F38" s="145"/>
      <c r="G38" s="145"/>
      <c r="H38" s="145"/>
      <c r="I38" s="145"/>
      <c r="J38" s="145"/>
      <c r="K38" s="145"/>
      <c r="L38" s="145"/>
    </row>
    <row r="39" spans="1:13">
      <c r="C39" s="145"/>
      <c r="D39" s="145"/>
      <c r="E39" s="145"/>
      <c r="F39" s="145"/>
      <c r="G39" s="145"/>
      <c r="H39" s="145"/>
      <c r="I39" s="145"/>
      <c r="J39" s="145"/>
      <c r="K39" s="145" t="s">
        <v>444</v>
      </c>
      <c r="L39" s="127">
        <f>DataForm!C42+DataForm!D42</f>
        <v>20463437.830409233</v>
      </c>
    </row>
    <row r="40" spans="1:13">
      <c r="L40" s="356"/>
    </row>
  </sheetData>
  <mergeCells count="8">
    <mergeCell ref="C37:F37"/>
    <mergeCell ref="A31:L31"/>
    <mergeCell ref="A18:L18"/>
    <mergeCell ref="A5:L5"/>
    <mergeCell ref="A1:L1"/>
    <mergeCell ref="I3:J3"/>
    <mergeCell ref="C2:J2"/>
    <mergeCell ref="C3:G3"/>
  </mergeCells>
  <conditionalFormatting sqref="L36">
    <cfRule type="cellIs" dxfId="0" priority="1" operator="notEqual">
      <formula>$L$39</formula>
    </cfRule>
  </conditionalFormatting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R254"/>
  <sheetViews>
    <sheetView topLeftCell="A7" workbookViewId="0">
      <selection activeCell="F20" sqref="F20"/>
    </sheetView>
  </sheetViews>
  <sheetFormatPr defaultRowHeight="14.4"/>
  <cols>
    <col min="1" max="1" width="35.109375" bestFit="1" customWidth="1"/>
    <col min="3" max="3" width="18.5546875" bestFit="1" customWidth="1"/>
    <col min="5" max="5" width="43.109375" bestFit="1" customWidth="1"/>
    <col min="6" max="6" width="9.88671875" bestFit="1" customWidth="1"/>
    <col min="7" max="7" width="44" bestFit="1" customWidth="1"/>
    <col min="8" max="8" width="11.88671875" bestFit="1" customWidth="1"/>
    <col min="9" max="10" width="10.88671875" bestFit="1" customWidth="1"/>
    <col min="11" max="11" width="11.33203125" bestFit="1" customWidth="1"/>
    <col min="12" max="12" width="12.33203125" bestFit="1" customWidth="1"/>
  </cols>
  <sheetData>
    <row r="1" spans="1:18">
      <c r="A1" s="8" t="s">
        <v>414</v>
      </c>
      <c r="C1" s="8" t="s">
        <v>29</v>
      </c>
      <c r="E1" s="8" t="s">
        <v>30</v>
      </c>
    </row>
    <row r="2" spans="1:18">
      <c r="A2" s="72" t="s">
        <v>161</v>
      </c>
      <c r="C2" t="s">
        <v>28</v>
      </c>
      <c r="E2" t="s">
        <v>31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</row>
    <row r="3" spans="1:18">
      <c r="A3" s="72" t="s">
        <v>162</v>
      </c>
      <c r="C3" t="s">
        <v>27</v>
      </c>
      <c r="E3" t="s">
        <v>32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 spans="1:18">
      <c r="A4" s="72" t="s">
        <v>163</v>
      </c>
      <c r="E4" t="s">
        <v>33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</row>
    <row r="5" spans="1:18">
      <c r="A5" s="72" t="s">
        <v>164</v>
      </c>
      <c r="E5" t="s">
        <v>34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</row>
    <row r="6" spans="1:18">
      <c r="A6" s="72" t="s">
        <v>165</v>
      </c>
      <c r="E6" t="s">
        <v>35</v>
      </c>
      <c r="F6" t="s">
        <v>71</v>
      </c>
      <c r="G6" t="s">
        <v>72</v>
      </c>
      <c r="H6" t="s">
        <v>73</v>
      </c>
      <c r="I6" t="s">
        <v>74</v>
      </c>
    </row>
    <row r="7" spans="1:18">
      <c r="A7" s="72" t="s">
        <v>166</v>
      </c>
    </row>
    <row r="8" spans="1:18">
      <c r="A8" s="72" t="s">
        <v>167</v>
      </c>
    </row>
    <row r="9" spans="1:18">
      <c r="A9" s="72" t="s">
        <v>168</v>
      </c>
      <c r="C9" s="8" t="s">
        <v>75</v>
      </c>
      <c r="E9" s="8" t="s">
        <v>79</v>
      </c>
      <c r="G9" s="8" t="s">
        <v>92</v>
      </c>
    </row>
    <row r="10" spans="1:18">
      <c r="A10" s="72" t="s">
        <v>169</v>
      </c>
      <c r="C10" t="s">
        <v>76</v>
      </c>
      <c r="E10" t="s">
        <v>80</v>
      </c>
      <c r="G10" t="s">
        <v>93</v>
      </c>
    </row>
    <row r="11" spans="1:18">
      <c r="A11" s="72" t="s">
        <v>170</v>
      </c>
      <c r="C11" t="s">
        <v>77</v>
      </c>
      <c r="E11" t="s">
        <v>81</v>
      </c>
      <c r="G11" t="s">
        <v>94</v>
      </c>
    </row>
    <row r="12" spans="1:18">
      <c r="A12" s="72" t="s">
        <v>171</v>
      </c>
      <c r="E12" t="s">
        <v>82</v>
      </c>
      <c r="G12" t="s">
        <v>95</v>
      </c>
    </row>
    <row r="13" spans="1:18">
      <c r="A13" s="72" t="s">
        <v>172</v>
      </c>
      <c r="E13" t="s">
        <v>83</v>
      </c>
      <c r="G13" t="s">
        <v>96</v>
      </c>
    </row>
    <row r="14" spans="1:18">
      <c r="A14" s="72" t="s">
        <v>173</v>
      </c>
      <c r="C14" s="8" t="s">
        <v>78</v>
      </c>
      <c r="E14" t="s">
        <v>84</v>
      </c>
      <c r="G14" t="s">
        <v>97</v>
      </c>
    </row>
    <row r="15" spans="1:18">
      <c r="A15" s="72" t="s">
        <v>174</v>
      </c>
      <c r="C15" t="s">
        <v>153</v>
      </c>
      <c r="E15" t="s">
        <v>85</v>
      </c>
      <c r="G15" t="s">
        <v>98</v>
      </c>
    </row>
    <row r="16" spans="1:18">
      <c r="A16" s="72" t="s">
        <v>175</v>
      </c>
      <c r="C16" t="s">
        <v>3</v>
      </c>
      <c r="E16" t="s">
        <v>86</v>
      </c>
      <c r="G16" t="s">
        <v>99</v>
      </c>
    </row>
    <row r="17" spans="1:7">
      <c r="A17" s="72" t="s">
        <v>176</v>
      </c>
      <c r="E17" t="s">
        <v>87</v>
      </c>
      <c r="G17" t="s">
        <v>15</v>
      </c>
    </row>
    <row r="18" spans="1:7">
      <c r="A18" s="72" t="s">
        <v>177</v>
      </c>
      <c r="C18" s="8" t="s">
        <v>154</v>
      </c>
      <c r="E18" t="s">
        <v>88</v>
      </c>
    </row>
    <row r="19" spans="1:7">
      <c r="A19" s="72" t="s">
        <v>178</v>
      </c>
      <c r="C19" t="s">
        <v>446</v>
      </c>
      <c r="E19" t="s">
        <v>445</v>
      </c>
    </row>
    <row r="20" spans="1:7">
      <c r="A20" s="72" t="s">
        <v>179</v>
      </c>
      <c r="C20" t="s">
        <v>155</v>
      </c>
      <c r="E20" t="s">
        <v>89</v>
      </c>
    </row>
    <row r="21" spans="1:7">
      <c r="A21" s="72" t="s">
        <v>180</v>
      </c>
      <c r="C21" t="s">
        <v>156</v>
      </c>
      <c r="E21" t="s">
        <v>90</v>
      </c>
    </row>
    <row r="22" spans="1:7">
      <c r="A22" s="72" t="s">
        <v>181</v>
      </c>
      <c r="C22" t="s">
        <v>157</v>
      </c>
      <c r="E22" t="s">
        <v>91</v>
      </c>
    </row>
    <row r="23" spans="1:7">
      <c r="A23" s="72" t="s">
        <v>182</v>
      </c>
      <c r="C23" t="s">
        <v>447</v>
      </c>
    </row>
    <row r="24" spans="1:7">
      <c r="A24" s="72" t="s">
        <v>183</v>
      </c>
      <c r="C24" t="s">
        <v>448</v>
      </c>
      <c r="E24" s="147"/>
    </row>
    <row r="25" spans="1:7">
      <c r="A25" s="72" t="s">
        <v>184</v>
      </c>
      <c r="C25" t="s">
        <v>449</v>
      </c>
    </row>
    <row r="26" spans="1:7">
      <c r="A26" s="72" t="s">
        <v>185</v>
      </c>
    </row>
    <row r="27" spans="1:7">
      <c r="A27" s="72" t="s">
        <v>186</v>
      </c>
    </row>
    <row r="28" spans="1:7">
      <c r="A28" s="72" t="s">
        <v>187</v>
      </c>
      <c r="C28" s="8" t="s">
        <v>158</v>
      </c>
    </row>
    <row r="29" spans="1:7">
      <c r="A29" s="72" t="s">
        <v>188</v>
      </c>
      <c r="C29" t="s">
        <v>159</v>
      </c>
    </row>
    <row r="30" spans="1:7">
      <c r="A30" s="72" t="s">
        <v>189</v>
      </c>
      <c r="C30" t="s">
        <v>160</v>
      </c>
    </row>
    <row r="31" spans="1:7">
      <c r="A31" s="72" t="s">
        <v>190</v>
      </c>
    </row>
    <row r="32" spans="1:7">
      <c r="A32" s="72" t="s">
        <v>191</v>
      </c>
    </row>
    <row r="33" spans="1:1">
      <c r="A33" s="72" t="s">
        <v>192</v>
      </c>
    </row>
    <row r="34" spans="1:1">
      <c r="A34" s="72" t="s">
        <v>193</v>
      </c>
    </row>
    <row r="35" spans="1:1">
      <c r="A35" s="72" t="s">
        <v>194</v>
      </c>
    </row>
    <row r="36" spans="1:1">
      <c r="A36" s="72" t="s">
        <v>195</v>
      </c>
    </row>
    <row r="37" spans="1:1">
      <c r="A37" s="72" t="s">
        <v>196</v>
      </c>
    </row>
    <row r="38" spans="1:1">
      <c r="A38" s="72" t="s">
        <v>197</v>
      </c>
    </row>
    <row r="39" spans="1:1">
      <c r="A39" s="72" t="s">
        <v>198</v>
      </c>
    </row>
    <row r="40" spans="1:1">
      <c r="A40" s="72" t="s">
        <v>199</v>
      </c>
    </row>
    <row r="41" spans="1:1">
      <c r="A41" s="72" t="s">
        <v>200</v>
      </c>
    </row>
    <row r="42" spans="1:1">
      <c r="A42" s="72" t="s">
        <v>201</v>
      </c>
    </row>
    <row r="43" spans="1:1">
      <c r="A43" s="72" t="s">
        <v>202</v>
      </c>
    </row>
    <row r="44" spans="1:1">
      <c r="A44" s="72" t="s">
        <v>203</v>
      </c>
    </row>
    <row r="45" spans="1:1">
      <c r="A45" s="72" t="s">
        <v>204</v>
      </c>
    </row>
    <row r="46" spans="1:1">
      <c r="A46" s="72" t="s">
        <v>205</v>
      </c>
    </row>
    <row r="47" spans="1:1">
      <c r="A47" s="72" t="s">
        <v>206</v>
      </c>
    </row>
    <row r="48" spans="1:1">
      <c r="A48" s="72" t="s">
        <v>207</v>
      </c>
    </row>
    <row r="49" spans="1:1">
      <c r="A49" s="72" t="s">
        <v>208</v>
      </c>
    </row>
    <row r="50" spans="1:1">
      <c r="A50" s="72" t="s">
        <v>209</v>
      </c>
    </row>
    <row r="51" spans="1:1">
      <c r="A51" s="72" t="s">
        <v>210</v>
      </c>
    </row>
    <row r="52" spans="1:1">
      <c r="A52" s="72" t="s">
        <v>211</v>
      </c>
    </row>
    <row r="53" spans="1:1">
      <c r="A53" s="72" t="s">
        <v>212</v>
      </c>
    </row>
    <row r="54" spans="1:1">
      <c r="A54" s="72" t="s">
        <v>213</v>
      </c>
    </row>
    <row r="55" spans="1:1">
      <c r="A55" s="72" t="s">
        <v>214</v>
      </c>
    </row>
    <row r="56" spans="1:1">
      <c r="A56" s="72" t="s">
        <v>215</v>
      </c>
    </row>
    <row r="57" spans="1:1">
      <c r="A57" s="72" t="s">
        <v>216</v>
      </c>
    </row>
    <row r="58" spans="1:1">
      <c r="A58" s="72" t="s">
        <v>217</v>
      </c>
    </row>
    <row r="59" spans="1:1">
      <c r="A59" s="72" t="s">
        <v>218</v>
      </c>
    </row>
    <row r="60" spans="1:1">
      <c r="A60" s="72" t="s">
        <v>219</v>
      </c>
    </row>
    <row r="61" spans="1:1">
      <c r="A61" s="72" t="s">
        <v>220</v>
      </c>
    </row>
    <row r="62" spans="1:1">
      <c r="A62" s="72" t="s">
        <v>221</v>
      </c>
    </row>
    <row r="63" spans="1:1">
      <c r="A63" s="72" t="s">
        <v>222</v>
      </c>
    </row>
    <row r="64" spans="1:1">
      <c r="A64" s="72" t="s">
        <v>223</v>
      </c>
    </row>
    <row r="65" spans="1:1">
      <c r="A65" s="72" t="s">
        <v>224</v>
      </c>
    </row>
    <row r="66" spans="1:1">
      <c r="A66" s="72" t="s">
        <v>225</v>
      </c>
    </row>
    <row r="67" spans="1:1">
      <c r="A67" s="72" t="s">
        <v>226</v>
      </c>
    </row>
    <row r="68" spans="1:1">
      <c r="A68" s="72" t="s">
        <v>227</v>
      </c>
    </row>
    <row r="69" spans="1:1">
      <c r="A69" s="72" t="s">
        <v>228</v>
      </c>
    </row>
    <row r="70" spans="1:1">
      <c r="A70" s="72" t="s">
        <v>229</v>
      </c>
    </row>
    <row r="71" spans="1:1">
      <c r="A71" s="72" t="s">
        <v>230</v>
      </c>
    </row>
    <row r="72" spans="1:1">
      <c r="A72" s="72" t="s">
        <v>231</v>
      </c>
    </row>
    <row r="73" spans="1:1">
      <c r="A73" s="72" t="s">
        <v>232</v>
      </c>
    </row>
    <row r="74" spans="1:1">
      <c r="A74" s="72" t="s">
        <v>233</v>
      </c>
    </row>
    <row r="75" spans="1:1">
      <c r="A75" s="72" t="s">
        <v>234</v>
      </c>
    </row>
    <row r="76" spans="1:1">
      <c r="A76" s="72" t="s">
        <v>235</v>
      </c>
    </row>
    <row r="77" spans="1:1">
      <c r="A77" s="72" t="s">
        <v>236</v>
      </c>
    </row>
    <row r="78" spans="1:1">
      <c r="A78" s="72" t="s">
        <v>237</v>
      </c>
    </row>
    <row r="79" spans="1:1">
      <c r="A79" s="72" t="s">
        <v>238</v>
      </c>
    </row>
    <row r="80" spans="1:1">
      <c r="A80" s="72" t="s">
        <v>239</v>
      </c>
    </row>
    <row r="81" spans="1:1">
      <c r="A81" s="72" t="s">
        <v>240</v>
      </c>
    </row>
    <row r="82" spans="1:1">
      <c r="A82" s="72" t="s">
        <v>241</v>
      </c>
    </row>
    <row r="83" spans="1:1">
      <c r="A83" s="72" t="s">
        <v>242</v>
      </c>
    </row>
    <row r="84" spans="1:1">
      <c r="A84" s="72" t="s">
        <v>243</v>
      </c>
    </row>
    <row r="85" spans="1:1">
      <c r="A85" s="72" t="s">
        <v>244</v>
      </c>
    </row>
    <row r="86" spans="1:1">
      <c r="A86" s="72" t="s">
        <v>245</v>
      </c>
    </row>
    <row r="87" spans="1:1">
      <c r="A87" s="72" t="s">
        <v>246</v>
      </c>
    </row>
    <row r="88" spans="1:1">
      <c r="A88" s="72" t="s">
        <v>247</v>
      </c>
    </row>
    <row r="89" spans="1:1">
      <c r="A89" s="72" t="s">
        <v>248</v>
      </c>
    </row>
    <row r="90" spans="1:1">
      <c r="A90" s="72" t="s">
        <v>249</v>
      </c>
    </row>
    <row r="91" spans="1:1">
      <c r="A91" s="72" t="s">
        <v>250</v>
      </c>
    </row>
    <row r="92" spans="1:1">
      <c r="A92" s="72" t="s">
        <v>251</v>
      </c>
    </row>
    <row r="93" spans="1:1">
      <c r="A93" s="72" t="s">
        <v>252</v>
      </c>
    </row>
    <row r="94" spans="1:1">
      <c r="A94" s="72" t="s">
        <v>253</v>
      </c>
    </row>
    <row r="95" spans="1:1">
      <c r="A95" s="72" t="s">
        <v>254</v>
      </c>
    </row>
    <row r="96" spans="1:1">
      <c r="A96" s="72" t="s">
        <v>255</v>
      </c>
    </row>
    <row r="97" spans="1:1">
      <c r="A97" s="72" t="s">
        <v>256</v>
      </c>
    </row>
    <row r="98" spans="1:1">
      <c r="A98" s="72" t="s">
        <v>257</v>
      </c>
    </row>
    <row r="99" spans="1:1">
      <c r="A99" s="72" t="s">
        <v>258</v>
      </c>
    </row>
    <row r="100" spans="1:1">
      <c r="A100" s="72" t="s">
        <v>259</v>
      </c>
    </row>
    <row r="101" spans="1:1">
      <c r="A101" s="72" t="s">
        <v>260</v>
      </c>
    </row>
    <row r="102" spans="1:1">
      <c r="A102" s="72" t="s">
        <v>261</v>
      </c>
    </row>
    <row r="103" spans="1:1">
      <c r="A103" s="72" t="s">
        <v>262</v>
      </c>
    </row>
    <row r="104" spans="1:1">
      <c r="A104" s="72" t="s">
        <v>263</v>
      </c>
    </row>
    <row r="105" spans="1:1">
      <c r="A105" s="72" t="s">
        <v>264</v>
      </c>
    </row>
    <row r="106" spans="1:1">
      <c r="A106" s="72" t="s">
        <v>265</v>
      </c>
    </row>
    <row r="107" spans="1:1">
      <c r="A107" s="72" t="s">
        <v>266</v>
      </c>
    </row>
    <row r="108" spans="1:1">
      <c r="A108" s="72" t="s">
        <v>267</v>
      </c>
    </row>
    <row r="109" spans="1:1">
      <c r="A109" s="72" t="s">
        <v>268</v>
      </c>
    </row>
    <row r="110" spans="1:1">
      <c r="A110" s="72" t="s">
        <v>269</v>
      </c>
    </row>
    <row r="111" spans="1:1">
      <c r="A111" s="72" t="s">
        <v>270</v>
      </c>
    </row>
    <row r="112" spans="1:1">
      <c r="A112" s="72" t="s">
        <v>271</v>
      </c>
    </row>
    <row r="113" spans="1:1">
      <c r="A113" s="72" t="s">
        <v>272</v>
      </c>
    </row>
    <row r="114" spans="1:1">
      <c r="A114" s="72" t="s">
        <v>273</v>
      </c>
    </row>
    <row r="115" spans="1:1">
      <c r="A115" s="72" t="s">
        <v>274</v>
      </c>
    </row>
    <row r="116" spans="1:1">
      <c r="A116" s="72" t="s">
        <v>275</v>
      </c>
    </row>
    <row r="117" spans="1:1">
      <c r="A117" s="72" t="s">
        <v>276</v>
      </c>
    </row>
    <row r="118" spans="1:1">
      <c r="A118" s="72" t="s">
        <v>277</v>
      </c>
    </row>
    <row r="119" spans="1:1">
      <c r="A119" s="72" t="s">
        <v>278</v>
      </c>
    </row>
    <row r="120" spans="1:1">
      <c r="A120" s="72" t="s">
        <v>279</v>
      </c>
    </row>
    <row r="121" spans="1:1">
      <c r="A121" s="72" t="s">
        <v>280</v>
      </c>
    </row>
    <row r="122" spans="1:1">
      <c r="A122" s="72" t="s">
        <v>281</v>
      </c>
    </row>
    <row r="123" spans="1:1">
      <c r="A123" s="72" t="s">
        <v>282</v>
      </c>
    </row>
    <row r="124" spans="1:1">
      <c r="A124" s="72" t="s">
        <v>283</v>
      </c>
    </row>
    <row r="125" spans="1:1">
      <c r="A125" s="72" t="s">
        <v>284</v>
      </c>
    </row>
    <row r="126" spans="1:1">
      <c r="A126" s="72" t="s">
        <v>285</v>
      </c>
    </row>
    <row r="127" spans="1:1">
      <c r="A127" s="72" t="s">
        <v>286</v>
      </c>
    </row>
    <row r="128" spans="1:1">
      <c r="A128" s="72" t="s">
        <v>287</v>
      </c>
    </row>
    <row r="129" spans="1:1">
      <c r="A129" s="72" t="s">
        <v>288</v>
      </c>
    </row>
    <row r="130" spans="1:1">
      <c r="A130" s="72" t="s">
        <v>289</v>
      </c>
    </row>
    <row r="131" spans="1:1">
      <c r="A131" s="72" t="s">
        <v>290</v>
      </c>
    </row>
    <row r="132" spans="1:1">
      <c r="A132" s="72" t="s">
        <v>291</v>
      </c>
    </row>
    <row r="133" spans="1:1">
      <c r="A133" s="72" t="s">
        <v>292</v>
      </c>
    </row>
    <row r="134" spans="1:1">
      <c r="A134" s="72" t="s">
        <v>293</v>
      </c>
    </row>
    <row r="135" spans="1:1">
      <c r="A135" s="72" t="s">
        <v>294</v>
      </c>
    </row>
    <row r="136" spans="1:1">
      <c r="A136" s="72" t="s">
        <v>295</v>
      </c>
    </row>
    <row r="137" spans="1:1">
      <c r="A137" s="72" t="s">
        <v>296</v>
      </c>
    </row>
    <row r="138" spans="1:1">
      <c r="A138" s="72" t="s">
        <v>297</v>
      </c>
    </row>
    <row r="139" spans="1:1">
      <c r="A139" s="72" t="s">
        <v>298</v>
      </c>
    </row>
    <row r="140" spans="1:1">
      <c r="A140" s="72" t="s">
        <v>299</v>
      </c>
    </row>
    <row r="141" spans="1:1">
      <c r="A141" s="72" t="s">
        <v>300</v>
      </c>
    </row>
    <row r="142" spans="1:1">
      <c r="A142" s="72" t="s">
        <v>301</v>
      </c>
    </row>
    <row r="143" spans="1:1">
      <c r="A143" s="72" t="s">
        <v>302</v>
      </c>
    </row>
    <row r="144" spans="1:1">
      <c r="A144" s="72" t="s">
        <v>303</v>
      </c>
    </row>
    <row r="145" spans="1:1">
      <c r="A145" s="72" t="s">
        <v>304</v>
      </c>
    </row>
    <row r="146" spans="1:1">
      <c r="A146" s="72" t="s">
        <v>305</v>
      </c>
    </row>
    <row r="147" spans="1:1">
      <c r="A147" s="72" t="s">
        <v>306</v>
      </c>
    </row>
    <row r="148" spans="1:1">
      <c r="A148" s="72" t="s">
        <v>307</v>
      </c>
    </row>
    <row r="149" spans="1:1">
      <c r="A149" s="72" t="s">
        <v>308</v>
      </c>
    </row>
    <row r="150" spans="1:1">
      <c r="A150" s="72" t="s">
        <v>309</v>
      </c>
    </row>
    <row r="151" spans="1:1">
      <c r="A151" s="72" t="s">
        <v>310</v>
      </c>
    </row>
    <row r="152" spans="1:1">
      <c r="A152" s="72" t="s">
        <v>311</v>
      </c>
    </row>
    <row r="153" spans="1:1">
      <c r="A153" s="72" t="s">
        <v>312</v>
      </c>
    </row>
    <row r="154" spans="1:1">
      <c r="A154" s="72" t="s">
        <v>313</v>
      </c>
    </row>
    <row r="155" spans="1:1">
      <c r="A155" s="72" t="s">
        <v>314</v>
      </c>
    </row>
    <row r="156" spans="1:1">
      <c r="A156" s="72" t="s">
        <v>315</v>
      </c>
    </row>
    <row r="157" spans="1:1">
      <c r="A157" s="72" t="s">
        <v>316</v>
      </c>
    </row>
    <row r="158" spans="1:1">
      <c r="A158" s="72" t="s">
        <v>317</v>
      </c>
    </row>
    <row r="159" spans="1:1">
      <c r="A159" s="72" t="s">
        <v>318</v>
      </c>
    </row>
    <row r="160" spans="1:1">
      <c r="A160" s="72" t="s">
        <v>319</v>
      </c>
    </row>
    <row r="161" spans="1:1">
      <c r="A161" s="72" t="s">
        <v>320</v>
      </c>
    </row>
    <row r="162" spans="1:1">
      <c r="A162" s="72" t="s">
        <v>321</v>
      </c>
    </row>
    <row r="163" spans="1:1">
      <c r="A163" s="72" t="s">
        <v>322</v>
      </c>
    </row>
    <row r="164" spans="1:1">
      <c r="A164" s="72" t="s">
        <v>323</v>
      </c>
    </row>
    <row r="165" spans="1:1">
      <c r="A165" s="72" t="s">
        <v>324</v>
      </c>
    </row>
    <row r="166" spans="1:1">
      <c r="A166" s="72" t="s">
        <v>325</v>
      </c>
    </row>
    <row r="167" spans="1:1">
      <c r="A167" s="72" t="s">
        <v>326</v>
      </c>
    </row>
    <row r="168" spans="1:1">
      <c r="A168" s="72" t="s">
        <v>327</v>
      </c>
    </row>
    <row r="169" spans="1:1">
      <c r="A169" s="72" t="s">
        <v>328</v>
      </c>
    </row>
    <row r="170" spans="1:1">
      <c r="A170" s="72" t="s">
        <v>329</v>
      </c>
    </row>
    <row r="171" spans="1:1">
      <c r="A171" s="72" t="s">
        <v>330</v>
      </c>
    </row>
    <row r="172" spans="1:1">
      <c r="A172" s="72" t="s">
        <v>331</v>
      </c>
    </row>
    <row r="173" spans="1:1">
      <c r="A173" s="72" t="s">
        <v>332</v>
      </c>
    </row>
    <row r="174" spans="1:1">
      <c r="A174" s="72" t="s">
        <v>333</v>
      </c>
    </row>
    <row r="175" spans="1:1">
      <c r="A175" s="72" t="s">
        <v>334</v>
      </c>
    </row>
    <row r="176" spans="1:1">
      <c r="A176" s="72" t="s">
        <v>335</v>
      </c>
    </row>
    <row r="177" spans="1:1">
      <c r="A177" s="72" t="s">
        <v>336</v>
      </c>
    </row>
    <row r="178" spans="1:1">
      <c r="A178" s="72" t="s">
        <v>337</v>
      </c>
    </row>
    <row r="179" spans="1:1">
      <c r="A179" s="72" t="s">
        <v>338</v>
      </c>
    </row>
    <row r="180" spans="1:1">
      <c r="A180" s="72" t="s">
        <v>339</v>
      </c>
    </row>
    <row r="181" spans="1:1">
      <c r="A181" s="72" t="s">
        <v>340</v>
      </c>
    </row>
    <row r="182" spans="1:1">
      <c r="A182" s="72" t="s">
        <v>341</v>
      </c>
    </row>
    <row r="183" spans="1:1">
      <c r="A183" s="72" t="s">
        <v>342</v>
      </c>
    </row>
    <row r="184" spans="1:1">
      <c r="A184" s="72" t="s">
        <v>343</v>
      </c>
    </row>
    <row r="185" spans="1:1">
      <c r="A185" s="72" t="s">
        <v>344</v>
      </c>
    </row>
    <row r="186" spans="1:1">
      <c r="A186" s="72" t="s">
        <v>345</v>
      </c>
    </row>
    <row r="187" spans="1:1">
      <c r="A187" s="72" t="s">
        <v>346</v>
      </c>
    </row>
    <row r="188" spans="1:1">
      <c r="A188" s="72" t="s">
        <v>347</v>
      </c>
    </row>
    <row r="189" spans="1:1">
      <c r="A189" s="72" t="s">
        <v>348</v>
      </c>
    </row>
    <row r="190" spans="1:1">
      <c r="A190" s="72" t="s">
        <v>349</v>
      </c>
    </row>
    <row r="191" spans="1:1">
      <c r="A191" s="72" t="s">
        <v>350</v>
      </c>
    </row>
    <row r="192" spans="1:1">
      <c r="A192" s="72" t="s">
        <v>351</v>
      </c>
    </row>
    <row r="193" spans="1:1">
      <c r="A193" s="72" t="s">
        <v>352</v>
      </c>
    </row>
    <row r="194" spans="1:1">
      <c r="A194" s="72" t="s">
        <v>353</v>
      </c>
    </row>
    <row r="195" spans="1:1">
      <c r="A195" s="72" t="s">
        <v>354</v>
      </c>
    </row>
    <row r="196" spans="1:1">
      <c r="A196" s="72" t="s">
        <v>355</v>
      </c>
    </row>
    <row r="197" spans="1:1">
      <c r="A197" s="72" t="s">
        <v>356</v>
      </c>
    </row>
    <row r="198" spans="1:1">
      <c r="A198" s="72" t="s">
        <v>357</v>
      </c>
    </row>
    <row r="199" spans="1:1">
      <c r="A199" s="72" t="s">
        <v>358</v>
      </c>
    </row>
    <row r="200" spans="1:1">
      <c r="A200" s="72" t="s">
        <v>359</v>
      </c>
    </row>
    <row r="201" spans="1:1">
      <c r="A201" s="72" t="s">
        <v>360</v>
      </c>
    </row>
    <row r="202" spans="1:1">
      <c r="A202" s="72" t="s">
        <v>361</v>
      </c>
    </row>
    <row r="203" spans="1:1">
      <c r="A203" s="72" t="s">
        <v>362</v>
      </c>
    </row>
    <row r="204" spans="1:1">
      <c r="A204" s="72" t="s">
        <v>363</v>
      </c>
    </row>
    <row r="205" spans="1:1">
      <c r="A205" s="72" t="s">
        <v>364</v>
      </c>
    </row>
    <row r="206" spans="1:1">
      <c r="A206" s="72" t="s">
        <v>365</v>
      </c>
    </row>
    <row r="207" spans="1:1">
      <c r="A207" s="72" t="s">
        <v>366</v>
      </c>
    </row>
    <row r="208" spans="1:1">
      <c r="A208" s="72" t="s">
        <v>367</v>
      </c>
    </row>
    <row r="209" spans="1:1">
      <c r="A209" s="72" t="s">
        <v>368</v>
      </c>
    </row>
    <row r="210" spans="1:1">
      <c r="A210" s="72" t="s">
        <v>369</v>
      </c>
    </row>
    <row r="211" spans="1:1">
      <c r="A211" s="72" t="s">
        <v>370</v>
      </c>
    </row>
    <row r="212" spans="1:1">
      <c r="A212" s="72" t="s">
        <v>371</v>
      </c>
    </row>
    <row r="213" spans="1:1">
      <c r="A213" s="72" t="s">
        <v>372</v>
      </c>
    </row>
    <row r="214" spans="1:1">
      <c r="A214" s="72" t="s">
        <v>373</v>
      </c>
    </row>
    <row r="215" spans="1:1">
      <c r="A215" s="72" t="s">
        <v>374</v>
      </c>
    </row>
    <row r="216" spans="1:1">
      <c r="A216" s="72" t="s">
        <v>375</v>
      </c>
    </row>
    <row r="217" spans="1:1">
      <c r="A217" s="72" t="s">
        <v>376</v>
      </c>
    </row>
    <row r="218" spans="1:1">
      <c r="A218" s="72" t="s">
        <v>377</v>
      </c>
    </row>
    <row r="219" spans="1:1">
      <c r="A219" s="72" t="s">
        <v>378</v>
      </c>
    </row>
    <row r="220" spans="1:1">
      <c r="A220" s="72" t="s">
        <v>379</v>
      </c>
    </row>
    <row r="221" spans="1:1">
      <c r="A221" s="72" t="s">
        <v>380</v>
      </c>
    </row>
    <row r="222" spans="1:1">
      <c r="A222" s="72" t="s">
        <v>381</v>
      </c>
    </row>
    <row r="223" spans="1:1">
      <c r="A223" s="72" t="s">
        <v>382</v>
      </c>
    </row>
    <row r="224" spans="1:1">
      <c r="A224" s="72" t="s">
        <v>383</v>
      </c>
    </row>
    <row r="225" spans="1:1">
      <c r="A225" s="72" t="s">
        <v>384</v>
      </c>
    </row>
    <row r="226" spans="1:1">
      <c r="A226" s="72" t="s">
        <v>385</v>
      </c>
    </row>
    <row r="227" spans="1:1">
      <c r="A227" s="72" t="s">
        <v>386</v>
      </c>
    </row>
    <row r="228" spans="1:1">
      <c r="A228" s="72" t="s">
        <v>387</v>
      </c>
    </row>
    <row r="229" spans="1:1">
      <c r="A229" s="72" t="s">
        <v>388</v>
      </c>
    </row>
    <row r="230" spans="1:1">
      <c r="A230" s="72" t="s">
        <v>389</v>
      </c>
    </row>
    <row r="231" spans="1:1">
      <c r="A231" s="72" t="s">
        <v>390</v>
      </c>
    </row>
    <row r="232" spans="1:1">
      <c r="A232" s="72" t="s">
        <v>391</v>
      </c>
    </row>
    <row r="233" spans="1:1">
      <c r="A233" s="72" t="s">
        <v>392</v>
      </c>
    </row>
    <row r="234" spans="1:1">
      <c r="A234" s="72" t="s">
        <v>393</v>
      </c>
    </row>
    <row r="235" spans="1:1">
      <c r="A235" s="72" t="s">
        <v>394</v>
      </c>
    </row>
    <row r="236" spans="1:1">
      <c r="A236" s="72" t="s">
        <v>395</v>
      </c>
    </row>
    <row r="237" spans="1:1">
      <c r="A237" s="72" t="s">
        <v>396</v>
      </c>
    </row>
    <row r="238" spans="1:1">
      <c r="A238" s="72" t="s">
        <v>397</v>
      </c>
    </row>
    <row r="239" spans="1:1">
      <c r="A239" s="72" t="s">
        <v>398</v>
      </c>
    </row>
    <row r="240" spans="1:1">
      <c r="A240" s="72" t="s">
        <v>399</v>
      </c>
    </row>
    <row r="241" spans="1:1">
      <c r="A241" s="72" t="s">
        <v>400</v>
      </c>
    </row>
    <row r="242" spans="1:1">
      <c r="A242" s="72" t="s">
        <v>401</v>
      </c>
    </row>
    <row r="243" spans="1:1">
      <c r="A243" s="72" t="s">
        <v>402</v>
      </c>
    </row>
    <row r="244" spans="1:1">
      <c r="A244" s="72" t="s">
        <v>403</v>
      </c>
    </row>
    <row r="245" spans="1:1">
      <c r="A245" s="72" t="s">
        <v>404</v>
      </c>
    </row>
    <row r="246" spans="1:1">
      <c r="A246" s="72" t="s">
        <v>405</v>
      </c>
    </row>
    <row r="247" spans="1:1">
      <c r="A247" s="72" t="s">
        <v>406</v>
      </c>
    </row>
    <row r="248" spans="1:1">
      <c r="A248" s="72" t="s">
        <v>407</v>
      </c>
    </row>
    <row r="249" spans="1:1">
      <c r="A249" s="72" t="s">
        <v>408</v>
      </c>
    </row>
    <row r="250" spans="1:1">
      <c r="A250" s="72" t="s">
        <v>409</v>
      </c>
    </row>
    <row r="251" spans="1:1">
      <c r="A251" s="72" t="s">
        <v>410</v>
      </c>
    </row>
    <row r="252" spans="1:1">
      <c r="A252" s="72" t="s">
        <v>411</v>
      </c>
    </row>
    <row r="253" spans="1:1">
      <c r="A253" s="72" t="s">
        <v>412</v>
      </c>
    </row>
    <row r="254" spans="1:1">
      <c r="A254" s="72" t="s">
        <v>413</v>
      </c>
    </row>
  </sheetData>
  <pageMargins left="0.7" right="0.7" top="0.75" bottom="0.75" header="0.3" footer="0.3"/>
  <pageSetup paperSize="9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K17" sqref="BK17"/>
    </sheetView>
  </sheetViews>
  <sheetFormatPr defaultRowHeight="14.4"/>
  <cols>
    <col min="1" max="1" width="25.88671875" bestFit="1" customWidth="1"/>
    <col min="2" max="2" width="13.6640625" customWidth="1"/>
    <col min="3" max="18" width="13.6640625" style="146" customWidth="1"/>
    <col min="20" max="20" width="8.33203125" bestFit="1" customWidth="1"/>
    <col min="26" max="26" width="9.109375" style="184"/>
    <col min="27" max="27" width="15.109375" customWidth="1"/>
    <col min="37" max="37" width="9.109375" style="184"/>
    <col min="43" max="43" width="9.109375" style="184"/>
    <col min="48" max="48" width="9.109375" style="184"/>
    <col min="54" max="54" width="9.109375" style="184"/>
  </cols>
  <sheetData>
    <row r="1" spans="1:67" ht="28.8">
      <c r="A1" s="389" t="s">
        <v>466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</row>
    <row r="2" spans="1:67" s="146" customFormat="1" ht="20.2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47"/>
      <c r="Z2" s="184"/>
      <c r="AK2" s="184"/>
      <c r="AQ2" s="184"/>
      <c r="AV2" s="184"/>
      <c r="BB2" s="184"/>
    </row>
    <row r="3" spans="1:67" s="178" customFormat="1" ht="17.25" customHeight="1">
      <c r="A3" s="177" t="s">
        <v>453</v>
      </c>
      <c r="B3" s="180"/>
      <c r="C3" s="383" t="s">
        <v>530</v>
      </c>
      <c r="D3" s="384"/>
      <c r="E3" s="384"/>
      <c r="F3" s="384"/>
      <c r="G3" s="384"/>
      <c r="H3" s="384"/>
      <c r="I3" s="384"/>
      <c r="J3" s="384"/>
      <c r="K3" s="384"/>
      <c r="L3" s="384"/>
      <c r="M3" s="390"/>
      <c r="N3" s="201"/>
      <c r="O3" s="386" t="s">
        <v>534</v>
      </c>
      <c r="P3" s="386"/>
      <c r="Q3" s="386"/>
      <c r="R3" s="180"/>
      <c r="S3" s="386" t="s">
        <v>451</v>
      </c>
      <c r="T3" s="386"/>
      <c r="U3" s="386"/>
      <c r="V3" s="386"/>
      <c r="W3" s="386"/>
      <c r="X3" s="386"/>
      <c r="Y3" s="386"/>
      <c r="Z3" s="191"/>
      <c r="AA3" s="387" t="s">
        <v>450</v>
      </c>
      <c r="AB3" s="387"/>
      <c r="AC3" s="387"/>
      <c r="AD3" s="387"/>
      <c r="AE3" s="387"/>
      <c r="AF3" s="387"/>
      <c r="AG3" s="387"/>
      <c r="AH3" s="387"/>
      <c r="AI3" s="387"/>
      <c r="AJ3" s="387"/>
      <c r="AK3" s="191"/>
      <c r="AL3" s="387" t="s">
        <v>489</v>
      </c>
      <c r="AM3" s="387"/>
      <c r="AN3" s="387"/>
      <c r="AO3" s="387"/>
      <c r="AP3" s="387"/>
      <c r="AQ3" s="191"/>
      <c r="AR3" s="387" t="s">
        <v>495</v>
      </c>
      <c r="AS3" s="387"/>
      <c r="AT3" s="387"/>
      <c r="AU3" s="387"/>
      <c r="AV3" s="191"/>
      <c r="AW3" s="387" t="s">
        <v>452</v>
      </c>
      <c r="AX3" s="387"/>
      <c r="AY3" s="387"/>
      <c r="AZ3" s="387"/>
      <c r="BA3" s="387"/>
      <c r="BB3" s="191"/>
      <c r="BC3" s="387" t="s">
        <v>15</v>
      </c>
      <c r="BD3" s="387"/>
      <c r="BE3" s="387"/>
      <c r="BF3" s="387"/>
      <c r="BG3" s="387"/>
      <c r="BH3" s="387"/>
      <c r="BI3" s="387"/>
      <c r="BJ3" s="387"/>
      <c r="BK3" s="387"/>
      <c r="BL3" s="387"/>
      <c r="BM3" s="387"/>
      <c r="BN3" s="387"/>
      <c r="BO3" s="387"/>
    </row>
    <row r="4" spans="1:67" s="114" customFormat="1" ht="45" customHeight="1">
      <c r="A4" s="179" t="s">
        <v>471</v>
      </c>
      <c r="C4" s="15" t="s">
        <v>519</v>
      </c>
      <c r="D4" s="15" t="s">
        <v>520</v>
      </c>
      <c r="E4" s="15" t="s">
        <v>521</v>
      </c>
      <c r="F4" s="15" t="s">
        <v>522</v>
      </c>
      <c r="G4" s="15" t="s">
        <v>523</v>
      </c>
      <c r="H4" s="15" t="s">
        <v>524</v>
      </c>
      <c r="I4" s="15" t="s">
        <v>525</v>
      </c>
      <c r="J4" s="15" t="s">
        <v>526</v>
      </c>
      <c r="K4" s="15" t="s">
        <v>527</v>
      </c>
      <c r="L4" s="15" t="s">
        <v>528</v>
      </c>
      <c r="M4" s="15" t="s">
        <v>529</v>
      </c>
      <c r="N4" s="192"/>
      <c r="O4" s="15" t="s">
        <v>531</v>
      </c>
      <c r="P4" s="15" t="s">
        <v>532</v>
      </c>
      <c r="Q4" s="15" t="s">
        <v>533</v>
      </c>
      <c r="R4" s="180"/>
      <c r="S4" s="15" t="s">
        <v>472</v>
      </c>
      <c r="T4" s="15" t="s">
        <v>473</v>
      </c>
      <c r="U4" s="15" t="s">
        <v>474</v>
      </c>
      <c r="V4" s="15" t="s">
        <v>475</v>
      </c>
      <c r="W4" s="15" t="s">
        <v>476</v>
      </c>
      <c r="X4" s="15" t="s">
        <v>477</v>
      </c>
      <c r="Y4" s="15" t="s">
        <v>478</v>
      </c>
      <c r="Z4" s="192"/>
      <c r="AA4" s="193" t="s">
        <v>479</v>
      </c>
      <c r="AB4" s="15" t="s">
        <v>480</v>
      </c>
      <c r="AC4" s="15" t="s">
        <v>481</v>
      </c>
      <c r="AD4" s="15" t="s">
        <v>482</v>
      </c>
      <c r="AE4" s="15" t="s">
        <v>483</v>
      </c>
      <c r="AF4" s="15" t="s">
        <v>484</v>
      </c>
      <c r="AG4" s="15" t="s">
        <v>485</v>
      </c>
      <c r="AH4" s="15" t="s">
        <v>486</v>
      </c>
      <c r="AI4" s="193" t="s">
        <v>487</v>
      </c>
      <c r="AJ4" s="193" t="s">
        <v>488</v>
      </c>
      <c r="AK4" s="192"/>
      <c r="AL4" s="15" t="s">
        <v>490</v>
      </c>
      <c r="AM4" s="193" t="s">
        <v>491</v>
      </c>
      <c r="AN4" s="15" t="s">
        <v>492</v>
      </c>
      <c r="AO4" s="15" t="s">
        <v>493</v>
      </c>
      <c r="AP4" s="15" t="s">
        <v>494</v>
      </c>
      <c r="AQ4" s="192"/>
      <c r="AR4" s="15" t="s">
        <v>496</v>
      </c>
      <c r="AS4" s="15" t="s">
        <v>497</v>
      </c>
      <c r="AT4" s="193" t="s">
        <v>498</v>
      </c>
      <c r="AU4" s="15" t="s">
        <v>499</v>
      </c>
      <c r="AV4" s="192"/>
      <c r="AW4" s="15" t="s">
        <v>500</v>
      </c>
      <c r="AX4" s="15" t="s">
        <v>501</v>
      </c>
      <c r="AY4" s="15" t="s">
        <v>502</v>
      </c>
      <c r="AZ4" s="15" t="s">
        <v>503</v>
      </c>
      <c r="BA4" s="15" t="s">
        <v>504</v>
      </c>
      <c r="BB4" s="192"/>
      <c r="BC4" s="15" t="s">
        <v>505</v>
      </c>
      <c r="BD4" s="15" t="s">
        <v>506</v>
      </c>
      <c r="BE4" s="193" t="s">
        <v>507</v>
      </c>
      <c r="BF4" s="15" t="s">
        <v>508</v>
      </c>
      <c r="BG4" s="15" t="s">
        <v>509</v>
      </c>
      <c r="BH4" s="193" t="s">
        <v>510</v>
      </c>
      <c r="BI4" s="193" t="s">
        <v>511</v>
      </c>
      <c r="BJ4" s="193" t="s">
        <v>512</v>
      </c>
      <c r="BK4" s="193" t="s">
        <v>513</v>
      </c>
      <c r="BL4" s="193" t="s">
        <v>514</v>
      </c>
      <c r="BM4" s="15" t="s">
        <v>515</v>
      </c>
      <c r="BN4" s="15" t="s">
        <v>516</v>
      </c>
      <c r="BO4" s="15" t="s">
        <v>517</v>
      </c>
    </row>
    <row r="5" spans="1:67">
      <c r="A5" s="388" t="s">
        <v>469</v>
      </c>
      <c r="B5" s="15" t="s">
        <v>433</v>
      </c>
      <c r="C5" s="17">
        <v>0.511598</v>
      </c>
      <c r="D5" s="204">
        <v>0.46509909605508754</v>
      </c>
      <c r="E5" s="204">
        <v>0.46509909605508754</v>
      </c>
      <c r="F5" s="204">
        <v>0.37037092539532207</v>
      </c>
      <c r="G5" s="204">
        <v>0.37037092539532207</v>
      </c>
      <c r="H5" s="204">
        <v>0.37037092539532207</v>
      </c>
      <c r="I5" s="204">
        <v>0.33195971704973665</v>
      </c>
      <c r="J5" s="17">
        <v>0.32239800000000002</v>
      </c>
      <c r="K5" s="17">
        <v>0.33337618000000002</v>
      </c>
      <c r="L5" s="17">
        <v>0.26413799999999998</v>
      </c>
      <c r="M5" s="17">
        <v>0.326741</v>
      </c>
      <c r="N5" s="184"/>
      <c r="O5" s="17">
        <v>0.31890400000000002</v>
      </c>
      <c r="P5" s="17">
        <v>0.39308870000000001</v>
      </c>
      <c r="Q5" s="17">
        <v>0.47562860000000001</v>
      </c>
      <c r="R5" s="180"/>
      <c r="S5" s="17">
        <v>0.29426267416845714</v>
      </c>
      <c r="T5" s="17">
        <v>0.22072786517770135</v>
      </c>
      <c r="U5" s="17">
        <v>0.31166034132063303</v>
      </c>
      <c r="V5" s="17">
        <v>0.21918400444944017</v>
      </c>
      <c r="W5" s="17">
        <v>0.14597719984082025</v>
      </c>
      <c r="X5" s="17">
        <v>9.4008999160919413E-2</v>
      </c>
      <c r="Y5" s="17">
        <v>7.8738345332231799E-2</v>
      </c>
      <c r="Z5" s="7"/>
      <c r="AA5" s="17">
        <v>0.33977614337222889</v>
      </c>
      <c r="AB5" s="17">
        <v>0.23210700653135385</v>
      </c>
      <c r="AC5" s="17">
        <v>0.17535823289284072</v>
      </c>
      <c r="AD5" s="17">
        <v>0.17924668359047199</v>
      </c>
      <c r="AE5" s="17">
        <v>0.23178561935779315</v>
      </c>
      <c r="AF5" s="17">
        <v>0.11289096610654853</v>
      </c>
      <c r="AG5" s="17">
        <v>8.9490616742362861E-2</v>
      </c>
      <c r="AH5" s="17">
        <v>0.18383001753003048</v>
      </c>
      <c r="AI5" s="17">
        <v>7.4564651275557531E-2</v>
      </c>
      <c r="AJ5" s="17">
        <v>4.4138238872956953E-2</v>
      </c>
      <c r="AK5" s="7"/>
      <c r="AL5" s="17">
        <v>0.24917178568621065</v>
      </c>
      <c r="AM5" s="17">
        <v>0.2810469130787977</v>
      </c>
      <c r="AN5" s="17">
        <v>0.2810469130787977</v>
      </c>
      <c r="AO5" s="17">
        <v>0.2810469130787977</v>
      </c>
      <c r="AP5" s="17">
        <v>0.18532706514681643</v>
      </c>
      <c r="AQ5" s="7"/>
      <c r="AR5" s="17">
        <v>0.25963140184122074</v>
      </c>
      <c r="AS5" s="17">
        <v>0.19351863730088456</v>
      </c>
      <c r="AT5" s="17">
        <v>0.2149354787978115</v>
      </c>
      <c r="AU5" s="17">
        <v>0.12169348655895441</v>
      </c>
      <c r="AV5" s="7"/>
      <c r="AW5" s="17">
        <v>0.35348399898608318</v>
      </c>
      <c r="AX5" s="17">
        <v>0.20322804248416795</v>
      </c>
      <c r="AY5" s="17">
        <v>0.16145859180713856</v>
      </c>
      <c r="AZ5" s="17">
        <v>0.17038437967459852</v>
      </c>
      <c r="BA5" s="17">
        <v>0.17038437967459852</v>
      </c>
      <c r="BB5" s="7"/>
      <c r="BC5" s="17">
        <v>0.51047883255150295</v>
      </c>
      <c r="BD5" s="17">
        <v>0.18553813071151964</v>
      </c>
      <c r="BE5" s="17">
        <v>0.37045499796156367</v>
      </c>
      <c r="BF5" s="17">
        <v>0.32085327427267946</v>
      </c>
      <c r="BG5" s="17">
        <v>0.50457615407575818</v>
      </c>
      <c r="BH5" s="17">
        <v>0.28185815924484303</v>
      </c>
      <c r="BI5" s="17">
        <v>0.29181641027826477</v>
      </c>
      <c r="BJ5" s="17">
        <v>0.46077648844418778</v>
      </c>
      <c r="BK5" s="17">
        <v>0.41645256768723765</v>
      </c>
      <c r="BL5" s="17">
        <v>0.44211211631102798</v>
      </c>
      <c r="BM5" s="17">
        <v>0.70862868426826597</v>
      </c>
      <c r="BN5" s="17">
        <v>0.41183539677770853</v>
      </c>
      <c r="BO5" s="17">
        <v>0.33269548703661755</v>
      </c>
    </row>
    <row r="6" spans="1:67">
      <c r="A6" s="388"/>
      <c r="B6" s="15" t="s">
        <v>434</v>
      </c>
      <c r="C6" s="32">
        <v>2.8374E-2</v>
      </c>
      <c r="D6" s="32">
        <v>2.8905475573539917E-2</v>
      </c>
      <c r="E6" s="32">
        <v>2.8905475573539917E-2</v>
      </c>
      <c r="F6" s="32">
        <v>5.2779542757124188E-2</v>
      </c>
      <c r="G6" s="32">
        <v>5.2779542757124188E-2</v>
      </c>
      <c r="H6" s="32">
        <v>5.2779542757124188E-2</v>
      </c>
      <c r="I6" s="32">
        <v>3.7320598262884343E-2</v>
      </c>
      <c r="J6" s="32">
        <v>4.2646999999999997E-2</v>
      </c>
      <c r="K6" s="32">
        <v>2.4993930000000001E-2</v>
      </c>
      <c r="L6" s="32">
        <v>2.4174999999999999E-2</v>
      </c>
      <c r="M6" s="32">
        <v>2.1498E-2</v>
      </c>
      <c r="N6" s="184"/>
      <c r="O6" s="32">
        <v>3.7301000000000001E-2</v>
      </c>
      <c r="P6" s="32">
        <v>2.4144800000000001E-2</v>
      </c>
      <c r="Q6" s="32">
        <v>2.8812000000000001E-2</v>
      </c>
      <c r="R6" s="180"/>
      <c r="S6" s="32">
        <v>4.5326966426801681E-2</v>
      </c>
      <c r="T6" s="32">
        <v>4.5907277292745734E-2</v>
      </c>
      <c r="U6" s="32">
        <v>7.0992707248102402E-2</v>
      </c>
      <c r="V6" s="32">
        <v>9.7551172067610922E-2</v>
      </c>
      <c r="W6" s="32">
        <v>8.9334956342611002E-2</v>
      </c>
      <c r="X6" s="32">
        <v>0.18282537704617707</v>
      </c>
      <c r="Y6" s="32">
        <v>8.9224595774814119E-2</v>
      </c>
      <c r="Z6" s="7"/>
      <c r="AA6" s="32">
        <v>2.6783644429073335E-2</v>
      </c>
      <c r="AB6" s="32">
        <v>4.2963185894967455E-2</v>
      </c>
      <c r="AC6" s="32">
        <v>4.6501518839480976E-2</v>
      </c>
      <c r="AD6" s="32">
        <v>4.7532658697526819E-2</v>
      </c>
      <c r="AE6" s="32">
        <v>5.6263816968598453E-2</v>
      </c>
      <c r="AF6" s="32">
        <v>5.9009794112690618E-2</v>
      </c>
      <c r="AG6" s="32">
        <v>0.1006384970623298</v>
      </c>
      <c r="AH6" s="32">
        <v>5.6334341212042775E-2</v>
      </c>
      <c r="AI6" s="32">
        <v>0.13744941074748679</v>
      </c>
      <c r="AJ6" s="32">
        <v>0.12492280317714607</v>
      </c>
      <c r="AK6" s="7"/>
      <c r="AL6" s="32">
        <v>2.9456354509416374E-2</v>
      </c>
      <c r="AM6" s="32">
        <v>2.066409423233144E-2</v>
      </c>
      <c r="AN6" s="32">
        <v>2.066409423233144E-2</v>
      </c>
      <c r="AO6" s="32">
        <v>2.066409423233144E-2</v>
      </c>
      <c r="AP6" s="32">
        <v>2.2814899441449172E-2</v>
      </c>
      <c r="AQ6" s="7"/>
      <c r="AR6" s="32">
        <v>5.3229188353001701E-2</v>
      </c>
      <c r="AS6" s="32">
        <v>0.13472501650495461</v>
      </c>
      <c r="AT6" s="32">
        <v>4.2296772698302331E-3</v>
      </c>
      <c r="AU6" s="32">
        <v>1.1090333075072713E-2</v>
      </c>
      <c r="AV6" s="7"/>
      <c r="AW6" s="32">
        <v>5.2874420599037228E-2</v>
      </c>
      <c r="AX6" s="32">
        <v>3.224550443401876E-2</v>
      </c>
      <c r="AY6" s="32">
        <v>3.3966904324714782E-2</v>
      </c>
      <c r="AZ6" s="32">
        <v>3.2704891565788693E-2</v>
      </c>
      <c r="BA6" s="32">
        <v>3.2704891565788693E-2</v>
      </c>
      <c r="BB6" s="7"/>
      <c r="BC6" s="32">
        <v>1.0641186656490508E-2</v>
      </c>
      <c r="BD6" s="32">
        <v>7.4316539990746236E-2</v>
      </c>
      <c r="BE6" s="32">
        <v>4.3606128874396591E-2</v>
      </c>
      <c r="BF6" s="32">
        <v>4.4573108380515536E-2</v>
      </c>
      <c r="BG6" s="32">
        <v>5.1636521115419227E-2</v>
      </c>
      <c r="BH6" s="32">
        <v>0.15372139944312435</v>
      </c>
      <c r="BI6" s="32">
        <v>6.665301066575216E-2</v>
      </c>
      <c r="BJ6" s="32">
        <v>0.39534642171719769</v>
      </c>
      <c r="BK6" s="32">
        <v>0.43991910441095611</v>
      </c>
      <c r="BL6" s="32">
        <v>0.40684017812547202</v>
      </c>
      <c r="BM6" s="32">
        <v>2.8047977766400937E-2</v>
      </c>
      <c r="BN6" s="32">
        <v>0.40202413355514799</v>
      </c>
      <c r="BO6" s="32">
        <v>0.57216740814290334</v>
      </c>
    </row>
    <row r="7" spans="1:67">
      <c r="A7" s="388"/>
      <c r="B7" s="15" t="s">
        <v>467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184"/>
      <c r="O7" s="32">
        <v>0</v>
      </c>
      <c r="P7" s="32">
        <v>0</v>
      </c>
      <c r="Q7" s="32">
        <v>0</v>
      </c>
      <c r="R7" s="180"/>
      <c r="S7" s="32">
        <v>7.9773673265831666E-2</v>
      </c>
      <c r="T7" s="32">
        <v>0.11989533860264405</v>
      </c>
      <c r="U7" s="32">
        <v>0.13283226670635512</v>
      </c>
      <c r="V7" s="32">
        <v>0.15016860667556242</v>
      </c>
      <c r="W7" s="32">
        <v>0.25155083218240126</v>
      </c>
      <c r="X7" s="32">
        <v>0.16693123773460339</v>
      </c>
      <c r="Y7" s="32">
        <v>0.10112120854478934</v>
      </c>
      <c r="Z7" s="7"/>
      <c r="AA7" s="32">
        <v>0.1118673839378793</v>
      </c>
      <c r="AB7" s="32">
        <v>0.19973156771185774</v>
      </c>
      <c r="AC7" s="32">
        <v>0.22064117790662821</v>
      </c>
      <c r="AD7" s="32">
        <v>0.20335942098264065</v>
      </c>
      <c r="AE7" s="32">
        <v>9.1460192719691802E-2</v>
      </c>
      <c r="AF7" s="32">
        <v>0.22387284033981833</v>
      </c>
      <c r="AG7" s="32">
        <v>0.31338890622579541</v>
      </c>
      <c r="AH7" s="32">
        <v>0.10710378013341647</v>
      </c>
      <c r="AI7" s="32">
        <v>0.17519399545189659</v>
      </c>
      <c r="AJ7" s="32">
        <v>0.19646209253835381</v>
      </c>
      <c r="AK7" s="7"/>
      <c r="AL7" s="32">
        <v>0.16303749705211854</v>
      </c>
      <c r="AM7" s="32">
        <v>9.2137997562956944E-2</v>
      </c>
      <c r="AN7" s="32">
        <v>9.2137997562956944E-2</v>
      </c>
      <c r="AO7" s="32">
        <v>9.2137997562956944E-2</v>
      </c>
      <c r="AP7" s="32">
        <v>9.6648830400253391E-2</v>
      </c>
      <c r="AQ7" s="7"/>
      <c r="AR7" s="32">
        <v>7.10134581005257E-2</v>
      </c>
      <c r="AS7" s="32">
        <v>0.16755266723195486</v>
      </c>
      <c r="AT7" s="32">
        <v>0.31407216110848996</v>
      </c>
      <c r="AU7" s="32">
        <v>0.26066744820928034</v>
      </c>
      <c r="AV7" s="7"/>
      <c r="AW7" s="32">
        <v>0.24236184546255488</v>
      </c>
      <c r="AX7" s="32">
        <v>0.32390074921734635</v>
      </c>
      <c r="AY7" s="32">
        <v>0.34077186481613209</v>
      </c>
      <c r="AZ7" s="32">
        <v>0.24466395608595662</v>
      </c>
      <c r="BA7" s="32">
        <v>0.24466395608595662</v>
      </c>
      <c r="BB7" s="7"/>
      <c r="BC7" s="32">
        <v>9.7997250491101626E-2</v>
      </c>
      <c r="BD7" s="32">
        <v>0.35246530829777001</v>
      </c>
      <c r="BE7" s="32">
        <v>3.149329503941585E-2</v>
      </c>
      <c r="BF7" s="32">
        <v>7.1869741645626817E-2</v>
      </c>
      <c r="BG7" s="32">
        <v>9.6628164267879249E-2</v>
      </c>
      <c r="BH7" s="32">
        <v>0.19654601552971057</v>
      </c>
      <c r="BI7" s="32">
        <v>0.27729025809841729</v>
      </c>
      <c r="BJ7" s="32">
        <v>0</v>
      </c>
      <c r="BK7" s="32">
        <v>0</v>
      </c>
      <c r="BL7" s="32">
        <v>0</v>
      </c>
      <c r="BM7" s="32">
        <v>0</v>
      </c>
      <c r="BN7" s="32">
        <v>0</v>
      </c>
      <c r="BO7" s="32">
        <v>0</v>
      </c>
    </row>
    <row r="8" spans="1:67">
      <c r="A8" s="388"/>
      <c r="B8" s="185" t="s">
        <v>436</v>
      </c>
      <c r="C8" s="186">
        <v>9.9359000000000003E-2</v>
      </c>
      <c r="D8" s="186">
        <v>0.10780983164763856</v>
      </c>
      <c r="E8" s="186">
        <v>0.10780983164763856</v>
      </c>
      <c r="F8" s="186">
        <v>3.5033507966384138E-2</v>
      </c>
      <c r="G8" s="186">
        <v>3.5033507966384138E-2</v>
      </c>
      <c r="H8" s="186">
        <v>3.5033507966384138E-2</v>
      </c>
      <c r="I8" s="186">
        <v>6.5820250399020314E-2</v>
      </c>
      <c r="J8" s="186">
        <v>2.0695000000000002E-2</v>
      </c>
      <c r="K8" s="186">
        <v>3.1785137999999998E-2</v>
      </c>
      <c r="L8" s="186">
        <v>5.1889999999999999E-2</v>
      </c>
      <c r="M8" s="186">
        <v>6.9528000000000006E-2</v>
      </c>
      <c r="N8" s="184"/>
      <c r="O8" s="186">
        <v>4.3984000000000002E-2</v>
      </c>
      <c r="P8" s="186">
        <v>7.0789500000000005E-2</v>
      </c>
      <c r="Q8" s="186">
        <v>0.1133608</v>
      </c>
      <c r="R8" s="180"/>
      <c r="S8" s="186">
        <v>7.3734953138637996E-2</v>
      </c>
      <c r="T8" s="186">
        <v>4.1326542440548376E-2</v>
      </c>
      <c r="U8" s="186">
        <v>8.3564642555935903E-2</v>
      </c>
      <c r="V8" s="186">
        <v>4.3241049513264573E-2</v>
      </c>
      <c r="W8" s="186">
        <v>2.8315269552189888E-2</v>
      </c>
      <c r="X8" s="186">
        <v>1.9074176970824017E-2</v>
      </c>
      <c r="Y8" s="186">
        <v>1.0998465714622921E-2</v>
      </c>
      <c r="Z8" s="7"/>
      <c r="AA8" s="186">
        <v>8.1004914725636798E-2</v>
      </c>
      <c r="AB8" s="186">
        <v>3.9747980215269235E-2</v>
      </c>
      <c r="AC8" s="186">
        <v>2.836815144513791E-2</v>
      </c>
      <c r="AD8" s="186">
        <v>2.8997196095381192E-2</v>
      </c>
      <c r="AE8" s="186">
        <v>6.6372687475781941E-2</v>
      </c>
      <c r="AF8" s="186">
        <v>1.2419703242274364E-2</v>
      </c>
      <c r="AG8" s="186">
        <v>2.4479088323181891E-2</v>
      </c>
      <c r="AH8" s="186">
        <v>3.47379907526148E-2</v>
      </c>
      <c r="AI8" s="186">
        <v>1.8702140120727757E-2</v>
      </c>
      <c r="AJ8" s="186">
        <v>1.6110441902129714E-2</v>
      </c>
      <c r="AK8" s="7"/>
      <c r="AL8" s="186">
        <v>8.7785102249373914E-2</v>
      </c>
      <c r="AM8" s="186">
        <v>7.7236494719740048E-2</v>
      </c>
      <c r="AN8" s="186">
        <v>7.7236494719740048E-2</v>
      </c>
      <c r="AO8" s="186">
        <v>7.7236494719740048E-2</v>
      </c>
      <c r="AP8" s="186">
        <v>5.7047626395869452E-2</v>
      </c>
      <c r="AQ8" s="7"/>
      <c r="AR8" s="186">
        <v>7.1363249026696218E-2</v>
      </c>
      <c r="AS8" s="186">
        <v>4.5372980685291976E-2</v>
      </c>
      <c r="AT8" s="186">
        <v>6.1053032372344038E-2</v>
      </c>
      <c r="AU8" s="186">
        <v>2.5527237030516667E-2</v>
      </c>
      <c r="AV8" s="7"/>
      <c r="AW8" s="186">
        <v>5.5706241059833378E-2</v>
      </c>
      <c r="AX8" s="186">
        <v>1.9548444208537689E-2</v>
      </c>
      <c r="AY8" s="186">
        <v>2.054924190207312E-2</v>
      </c>
      <c r="AZ8" s="186">
        <v>2.4395226390600391E-2</v>
      </c>
      <c r="BA8" s="186">
        <v>2.4395226390600391E-2</v>
      </c>
      <c r="BB8" s="7"/>
      <c r="BC8" s="186">
        <v>5.9712171971305454E-2</v>
      </c>
      <c r="BD8" s="186">
        <v>3.100809108469323E-2</v>
      </c>
      <c r="BE8" s="186">
        <v>5.3142291610904432E-2</v>
      </c>
      <c r="BF8" s="186">
        <v>8.583423430648715E-2</v>
      </c>
      <c r="BG8" s="186">
        <v>1.3885975458010132E-2</v>
      </c>
      <c r="BH8" s="186">
        <v>6.0745270861707251E-2</v>
      </c>
      <c r="BI8" s="186">
        <v>5.6438951846314103E-2</v>
      </c>
      <c r="BJ8" s="186">
        <v>8.6443781738831812E-2</v>
      </c>
      <c r="BK8" s="186">
        <v>8.6195206387007881E-2</v>
      </c>
      <c r="BL8" s="186">
        <v>9.3614293405978599E-2</v>
      </c>
      <c r="BM8" s="186">
        <v>0.20589044101513931</v>
      </c>
      <c r="BN8" s="186">
        <v>0.1287078099986996</v>
      </c>
      <c r="BO8" s="186">
        <v>3.7702018132829487E-2</v>
      </c>
    </row>
    <row r="9" spans="1:67" s="190" customFormat="1">
      <c r="A9" s="182"/>
      <c r="B9" s="183"/>
      <c r="N9" s="184"/>
      <c r="R9" s="180"/>
      <c r="Z9" s="184"/>
      <c r="AK9" s="184"/>
      <c r="AQ9" s="184"/>
      <c r="AV9" s="184"/>
      <c r="BB9" s="184"/>
    </row>
    <row r="10" spans="1:67">
      <c r="A10" s="187" t="s">
        <v>470</v>
      </c>
      <c r="B10" s="188" t="s">
        <v>468</v>
      </c>
      <c r="C10" s="189">
        <v>0.13708999999999999</v>
      </c>
      <c r="D10" s="189">
        <v>0.12835977048225999</v>
      </c>
      <c r="E10" s="189">
        <v>0.12835977048225999</v>
      </c>
      <c r="F10" s="189">
        <v>0.1445068514500138</v>
      </c>
      <c r="G10" s="189">
        <v>0.1445068514500138</v>
      </c>
      <c r="H10" s="189">
        <v>0.1445068514500138</v>
      </c>
      <c r="I10" s="189">
        <v>0.14757927675797175</v>
      </c>
      <c r="J10" s="189">
        <v>0.111274</v>
      </c>
      <c r="K10" s="189">
        <v>0.112415556</v>
      </c>
      <c r="L10" s="189">
        <v>0.105507</v>
      </c>
      <c r="M10" s="189">
        <v>0.112039</v>
      </c>
      <c r="N10" s="184"/>
      <c r="O10" s="189">
        <v>0.16406699999999999</v>
      </c>
      <c r="P10" s="189">
        <v>0.15974869999999999</v>
      </c>
      <c r="Q10" s="189">
        <v>0.1431453</v>
      </c>
      <c r="R10" s="180"/>
      <c r="S10" s="189">
        <v>4.9857699368162173E-2</v>
      </c>
      <c r="T10" s="189">
        <v>3.2556393802497585E-2</v>
      </c>
      <c r="U10" s="189">
        <v>4.9804038299350102E-2</v>
      </c>
      <c r="V10" s="189">
        <v>4.8771691215705147E-2</v>
      </c>
      <c r="W10" s="189">
        <v>4.298555677801446E-2</v>
      </c>
      <c r="X10" s="189">
        <v>4.7845740521024971E-2</v>
      </c>
      <c r="Y10" s="189">
        <v>5.1625162280184121E-2</v>
      </c>
      <c r="Z10" s="7"/>
      <c r="AA10" s="189">
        <v>5.0609284969655437E-2</v>
      </c>
      <c r="AB10" s="189">
        <v>5.143114038859125E-2</v>
      </c>
      <c r="AC10" s="189">
        <v>5.0803094744887506E-2</v>
      </c>
      <c r="AD10" s="189">
        <v>5.1929619151205537E-2</v>
      </c>
      <c r="AE10" s="189">
        <v>5.8426496128847011E-2</v>
      </c>
      <c r="AF10" s="189">
        <v>4.4576116789284567E-2</v>
      </c>
      <c r="AG10" s="189">
        <v>5.180716670296192E-2</v>
      </c>
      <c r="AH10" s="189">
        <v>6.7492087956045499E-2</v>
      </c>
      <c r="AI10" s="189">
        <v>4.7370965456906215E-2</v>
      </c>
      <c r="AJ10" s="189">
        <v>4.61499422170316E-2</v>
      </c>
      <c r="AK10" s="7"/>
      <c r="AL10" s="189">
        <v>5.128752231967388E-2</v>
      </c>
      <c r="AM10" s="189">
        <v>5.5036555645816415E-2</v>
      </c>
      <c r="AN10" s="189">
        <v>5.5036555645816415E-2</v>
      </c>
      <c r="AO10" s="189">
        <v>5.5036555645816415E-2</v>
      </c>
      <c r="AP10" s="189">
        <v>3.1726715731063573E-2</v>
      </c>
      <c r="AQ10" s="7"/>
      <c r="AR10" s="189">
        <v>5.3354775938542438E-2</v>
      </c>
      <c r="AS10" s="189">
        <v>4.7326979577660896E-2</v>
      </c>
      <c r="AT10" s="189">
        <v>2.856480676748363E-2</v>
      </c>
      <c r="AU10" s="189">
        <v>2.6537292968955992E-2</v>
      </c>
      <c r="AV10" s="7"/>
      <c r="AW10" s="189">
        <v>4.2398024872227505E-2</v>
      </c>
      <c r="AX10" s="189">
        <v>2.5205550249593613E-2</v>
      </c>
      <c r="AY10" s="189">
        <v>2.6519182662174505E-2</v>
      </c>
      <c r="AZ10" s="189">
        <v>2.9825174133943106E-2</v>
      </c>
      <c r="BA10" s="189">
        <v>2.9825174133943106E-2</v>
      </c>
      <c r="BB10" s="7"/>
      <c r="BC10" s="189">
        <v>5.264989870458972E-2</v>
      </c>
      <c r="BD10" s="189">
        <v>4.4392916754497962E-2</v>
      </c>
      <c r="BE10" s="189">
        <v>6.2116881535121279E-2</v>
      </c>
      <c r="BF10" s="189">
        <v>6.2286060647189188E-2</v>
      </c>
      <c r="BG10" s="189">
        <v>5.1833506635479795E-2</v>
      </c>
      <c r="BH10" s="189">
        <v>5.3453442685801052E-2</v>
      </c>
      <c r="BI10" s="189">
        <v>4.8964804103393753E-2</v>
      </c>
      <c r="BJ10" s="189">
        <v>5.7433308099782629E-2</v>
      </c>
      <c r="BK10" s="189">
        <v>5.7433121514798388E-2</v>
      </c>
      <c r="BL10" s="189">
        <v>5.7433412157521353E-2</v>
      </c>
      <c r="BM10" s="189">
        <v>5.743289695019381E-2</v>
      </c>
      <c r="BN10" s="189">
        <v>5.7432659668443874E-2</v>
      </c>
      <c r="BO10" s="189">
        <v>5.7435086687649725E-2</v>
      </c>
    </row>
    <row r="11" spans="1:67" s="190" customFormat="1">
      <c r="A11" s="182"/>
      <c r="B11" s="183"/>
      <c r="N11" s="184"/>
      <c r="R11" s="180"/>
      <c r="Z11" s="184"/>
      <c r="AK11" s="184"/>
      <c r="AQ11" s="184"/>
      <c r="AV11" s="184"/>
      <c r="BB11" s="184"/>
    </row>
    <row r="12" spans="1:67">
      <c r="A12" s="181" t="s">
        <v>12</v>
      </c>
      <c r="B12" s="15" t="s">
        <v>12</v>
      </c>
      <c r="C12" s="32">
        <v>5.1811214855449268E-2</v>
      </c>
      <c r="D12" s="32">
        <v>6.9676042762573998E-2</v>
      </c>
      <c r="E12" s="32">
        <v>6.9676042762573998E-2</v>
      </c>
      <c r="F12" s="32">
        <v>0.10259555682228112</v>
      </c>
      <c r="G12" s="32">
        <v>0.10259555682228112</v>
      </c>
      <c r="H12" s="32">
        <v>0.10259555682228112</v>
      </c>
      <c r="I12" s="32">
        <v>0.10776291338305555</v>
      </c>
      <c r="J12" s="32">
        <v>0.17206483375533541</v>
      </c>
      <c r="K12" s="32">
        <v>0.17016397897849903</v>
      </c>
      <c r="L12" s="32">
        <v>0.18961512093097849</v>
      </c>
      <c r="M12" s="32">
        <v>0.16524665867695518</v>
      </c>
      <c r="N12" s="184"/>
      <c r="O12" s="32">
        <v>0.144933090811557</v>
      </c>
      <c r="P12" s="32">
        <v>0.11715487650118789</v>
      </c>
      <c r="Q12" s="32">
        <v>7.9511664747581062E-2</v>
      </c>
      <c r="R12" s="180"/>
      <c r="S12" s="32">
        <v>9.5465663177673535E-2</v>
      </c>
      <c r="T12" s="32">
        <v>0.11270684478326075</v>
      </c>
      <c r="U12" s="32">
        <v>0.17485736964826115</v>
      </c>
      <c r="V12" s="32">
        <v>0.21964281402165672</v>
      </c>
      <c r="W12" s="32">
        <v>0.22001763462003632</v>
      </c>
      <c r="X12" s="32">
        <v>0.24366001595203673</v>
      </c>
      <c r="Y12" s="32">
        <v>0.33278413784964006</v>
      </c>
      <c r="Z12" s="7"/>
      <c r="AA12" s="32">
        <v>8.1808893444772574E-2</v>
      </c>
      <c r="AB12" s="32">
        <v>0.16831975594345722</v>
      </c>
      <c r="AC12" s="32">
        <v>0.18550340077893959</v>
      </c>
      <c r="AD12" s="32">
        <v>0.1896168137409226</v>
      </c>
      <c r="AE12" s="32">
        <v>0.19223719872203382</v>
      </c>
      <c r="AF12" s="32">
        <v>0.21222502300927087</v>
      </c>
      <c r="AG12" s="32">
        <v>0.10108638793411179</v>
      </c>
      <c r="AH12" s="32">
        <v>0.13243408590891445</v>
      </c>
      <c r="AI12" s="32">
        <v>0.13152402359639015</v>
      </c>
      <c r="AJ12" s="32">
        <v>0.13765798597310799</v>
      </c>
      <c r="AK12" s="7"/>
      <c r="AL12" s="32">
        <v>8.7956353192314707E-2</v>
      </c>
      <c r="AM12" s="32">
        <v>9.9414213326513609E-2</v>
      </c>
      <c r="AN12" s="32">
        <v>9.9414213326513609E-2</v>
      </c>
      <c r="AO12" s="32">
        <v>9.9414213326513609E-2</v>
      </c>
      <c r="AP12" s="32">
        <v>0.12722314995674161</v>
      </c>
      <c r="AQ12" s="7"/>
      <c r="AR12" s="32">
        <v>0.49140792674001321</v>
      </c>
      <c r="AS12" s="32">
        <v>0.18913582873645579</v>
      </c>
      <c r="AT12" s="32">
        <v>0.37714484368404061</v>
      </c>
      <c r="AU12" s="32">
        <v>0.55448420215721983</v>
      </c>
      <c r="AV12" s="7"/>
      <c r="AW12" s="32">
        <v>0.25317546902026383</v>
      </c>
      <c r="AX12" s="32">
        <v>0.39587170940633559</v>
      </c>
      <c r="AY12" s="32">
        <v>0.41673421448776693</v>
      </c>
      <c r="AZ12" s="32">
        <v>0.49802637214911272</v>
      </c>
      <c r="BA12" s="32">
        <v>0.49802637214911272</v>
      </c>
      <c r="BB12" s="7"/>
      <c r="BC12" s="32">
        <v>6.7346534058025501E-2</v>
      </c>
      <c r="BD12" s="32">
        <v>0.31227901316077306</v>
      </c>
      <c r="BE12" s="32">
        <v>0.15466667549948579</v>
      </c>
      <c r="BF12" s="32">
        <v>8.6974928868962062E-2</v>
      </c>
      <c r="BG12" s="32">
        <v>6.7705878062955666E-2</v>
      </c>
      <c r="BH12" s="32">
        <v>5.7878183117947186E-2</v>
      </c>
      <c r="BI12" s="32">
        <v>5.9055673778016855E-2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0</v>
      </c>
    </row>
    <row r="13" spans="1:67" s="190" customFormat="1">
      <c r="A13" s="182"/>
      <c r="B13" s="183"/>
      <c r="N13" s="184"/>
      <c r="R13" s="180"/>
      <c r="Z13" s="184"/>
      <c r="AK13" s="184"/>
      <c r="AQ13" s="184"/>
      <c r="AV13" s="184"/>
      <c r="BB13" s="184"/>
    </row>
    <row r="14" spans="1:67">
      <c r="A14" s="181" t="s">
        <v>13</v>
      </c>
      <c r="B14" s="15" t="s">
        <v>13</v>
      </c>
      <c r="C14" s="18">
        <v>0.17176885734234545</v>
      </c>
      <c r="D14" s="18">
        <v>0.2001497834789</v>
      </c>
      <c r="E14" s="18">
        <v>0.2001497834789</v>
      </c>
      <c r="F14" s="18">
        <v>0.29471361560887471</v>
      </c>
      <c r="G14" s="18">
        <v>0.29471361560887471</v>
      </c>
      <c r="H14" s="18">
        <v>0.29471361560887471</v>
      </c>
      <c r="I14" s="18">
        <v>0.30955724414733138</v>
      </c>
      <c r="J14" s="18">
        <v>0.33092100607078545</v>
      </c>
      <c r="K14" s="18">
        <v>0.32726521678824333</v>
      </c>
      <c r="L14" s="18">
        <v>0.36467432197061223</v>
      </c>
      <c r="M14" s="18">
        <v>0.30494751608032639</v>
      </c>
      <c r="N14" s="184"/>
      <c r="O14" s="18">
        <v>0.29081083020099485</v>
      </c>
      <c r="P14" s="18">
        <v>0.23507334802997754</v>
      </c>
      <c r="Q14" s="18">
        <v>0.1595415726417628</v>
      </c>
      <c r="R14" s="180"/>
      <c r="S14" s="18">
        <v>0.36157837045443586</v>
      </c>
      <c r="T14" s="18">
        <v>0.42687973790060219</v>
      </c>
      <c r="U14" s="18">
        <v>0.17628863422136229</v>
      </c>
      <c r="V14" s="18">
        <v>0.22144066205675994</v>
      </c>
      <c r="W14" s="18">
        <v>0.22181855068392672</v>
      </c>
      <c r="X14" s="18">
        <v>0.24565445261441438</v>
      </c>
      <c r="Y14" s="18">
        <v>0.33550808450371772</v>
      </c>
      <c r="Z14" s="7"/>
      <c r="AA14" s="18">
        <v>0.30814973512075367</v>
      </c>
      <c r="AB14" s="18">
        <v>0.26569936331450322</v>
      </c>
      <c r="AC14" s="18">
        <v>0.29282442339208514</v>
      </c>
      <c r="AD14" s="18">
        <v>0.29931760774185123</v>
      </c>
      <c r="AE14" s="18">
        <v>0.30345398862725381</v>
      </c>
      <c r="AF14" s="18">
        <v>0.33500555640011265</v>
      </c>
      <c r="AG14" s="18">
        <v>0.31910933700925642</v>
      </c>
      <c r="AH14" s="18">
        <v>0.41806769650693554</v>
      </c>
      <c r="AI14" s="18">
        <v>0.41519481335103509</v>
      </c>
      <c r="AJ14" s="18">
        <v>0.43455849531927382</v>
      </c>
      <c r="AK14" s="7"/>
      <c r="AL14" s="18">
        <v>0.3313053849908919</v>
      </c>
      <c r="AM14" s="18">
        <v>0.37446373143384387</v>
      </c>
      <c r="AN14" s="18">
        <v>0.37446373143384387</v>
      </c>
      <c r="AO14" s="18">
        <v>0.37446373143384387</v>
      </c>
      <c r="AP14" s="18">
        <v>0.47921171292780634</v>
      </c>
      <c r="AQ14" s="7"/>
      <c r="AR14" s="18">
        <v>0</v>
      </c>
      <c r="AS14" s="18">
        <v>0.22236788996279738</v>
      </c>
      <c r="AT14" s="18">
        <v>0</v>
      </c>
      <c r="AU14" s="18">
        <v>0</v>
      </c>
      <c r="AV14" s="7"/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7"/>
      <c r="BC14" s="18">
        <v>0.20117412556698433</v>
      </c>
      <c r="BD14" s="18">
        <v>0</v>
      </c>
      <c r="BE14" s="18">
        <v>0.28451972947911247</v>
      </c>
      <c r="BF14" s="18">
        <v>0.32760865187853971</v>
      </c>
      <c r="BG14" s="18">
        <v>0.21373380038449769</v>
      </c>
      <c r="BH14" s="18">
        <v>0.19579752911686654</v>
      </c>
      <c r="BI14" s="18">
        <v>0.19978089122984102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</row>
  </sheetData>
  <mergeCells count="10">
    <mergeCell ref="AW3:BA3"/>
    <mergeCell ref="BC3:BO3"/>
    <mergeCell ref="A5:A8"/>
    <mergeCell ref="A1:V1"/>
    <mergeCell ref="S3:Y3"/>
    <mergeCell ref="AA3:AJ3"/>
    <mergeCell ref="AL3:AP3"/>
    <mergeCell ref="AR3:AU3"/>
    <mergeCell ref="C3:M3"/>
    <mergeCell ref="O3: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H5"/>
  <sheetViews>
    <sheetView topLeftCell="PO1" workbookViewId="0">
      <selection activeCell="VN16" sqref="VN16"/>
    </sheetView>
  </sheetViews>
  <sheetFormatPr defaultRowHeight="14.4"/>
  <cols>
    <col min="1" max="1" width="14.6640625" bestFit="1" customWidth="1"/>
    <col min="2" max="2" width="15" bestFit="1" customWidth="1"/>
    <col min="3" max="3" width="15" style="146" customWidth="1"/>
    <col min="4" max="4" width="24.109375" bestFit="1" customWidth="1"/>
    <col min="7" max="9" width="9.109375" style="146"/>
    <col min="10" max="10" width="19.6640625" style="146" bestFit="1" customWidth="1"/>
    <col min="11" max="11" width="9.109375" style="146"/>
    <col min="12" max="12" width="14.44140625" bestFit="1" customWidth="1"/>
    <col min="25" max="29" width="9.109375" style="146"/>
    <col min="42" max="42" width="16.6640625" bestFit="1" customWidth="1"/>
    <col min="43" max="47" width="9.109375" style="146"/>
    <col min="48" max="48" width="9.33203125" style="146" customWidth="1"/>
    <col min="60" max="60" width="27.109375" bestFit="1" customWidth="1"/>
    <col min="61" max="61" width="21" style="146" customWidth="1"/>
    <col min="62" max="62" width="14.6640625" style="146" customWidth="1"/>
    <col min="63" max="64" width="8.88671875" style="146" customWidth="1"/>
    <col min="65" max="65" width="10" style="146" customWidth="1"/>
    <col min="66" max="66" width="18.5546875" style="146" customWidth="1"/>
    <col min="78" max="78" width="23" bestFit="1" customWidth="1"/>
    <col min="79" max="83" width="9.109375" style="146"/>
    <col min="97" max="101" width="9.109375" style="146"/>
    <col min="115" max="119" width="9.109375" style="146"/>
    <col min="133" max="137" width="9.109375" style="146"/>
    <col min="151" max="155" width="9.109375" style="146"/>
    <col min="169" max="173" width="9.109375" style="146"/>
    <col min="187" max="191" width="9.109375" style="146"/>
    <col min="205" max="209" width="9.109375" style="146"/>
    <col min="223" max="227" width="9.109375" style="146"/>
    <col min="241" max="245" width="9.109375" style="146"/>
    <col min="259" max="263" width="9.109375" style="146"/>
    <col min="277" max="281" width="9.109375" style="146"/>
    <col min="295" max="299" width="9.109375" style="146"/>
    <col min="313" max="317" width="9.109375" style="146"/>
    <col min="331" max="335" width="9.109375" style="146"/>
    <col min="349" max="353" width="9.109375" style="146"/>
    <col min="367" max="371" width="9.109375" style="146"/>
    <col min="382" max="382" width="12.5546875" customWidth="1"/>
    <col min="383" max="383" width="11.33203125" style="146" customWidth="1"/>
    <col min="384" max="384" width="12.5546875" style="146" customWidth="1"/>
    <col min="385" max="385" width="11.33203125" style="146" customWidth="1"/>
    <col min="397" max="397" width="35.33203125" bestFit="1" customWidth="1"/>
    <col min="398" max="404" width="6.44140625" style="146" customWidth="1"/>
    <col min="405" max="405" width="11.6640625" style="146" customWidth="1"/>
    <col min="406" max="406" width="38.44140625" style="146" bestFit="1" customWidth="1"/>
    <col min="407" max="411" width="38.44140625" style="146" customWidth="1"/>
    <col min="422" max="422" width="41.33203125" bestFit="1" customWidth="1"/>
    <col min="423" max="423" width="11.33203125" style="146" customWidth="1"/>
    <col min="424" max="424" width="9.109375" style="146"/>
    <col min="431" max="431" width="36.44140625" bestFit="1" customWidth="1"/>
    <col min="432" max="432" width="35.5546875" bestFit="1" customWidth="1"/>
    <col min="433" max="435" width="35.5546875" style="146" customWidth="1"/>
    <col min="447" max="447" width="44" bestFit="1" customWidth="1"/>
    <col min="448" max="450" width="9.109375" style="146"/>
    <col min="456" max="456" width="47.109375" bestFit="1" customWidth="1"/>
    <col min="457" max="457" width="34" bestFit="1" customWidth="1"/>
    <col min="458" max="460" width="8.88671875" style="146"/>
    <col min="463" max="463" width="16.109375" customWidth="1"/>
    <col min="472" max="472" width="42.33203125" bestFit="1" customWidth="1"/>
    <col min="473" max="474" width="9.109375" style="146"/>
    <col min="481" max="481" width="45.33203125" bestFit="1" customWidth="1"/>
    <col min="482" max="482" width="25.109375" bestFit="1" customWidth="1"/>
    <col min="483" max="485" width="8.88671875" style="146"/>
    <col min="497" max="497" width="32.5546875" bestFit="1" customWidth="1"/>
    <col min="498" max="499" width="8.44140625" style="146" customWidth="1"/>
    <col min="500" max="500" width="9.109375" style="146"/>
    <col min="502" max="502" width="35.6640625" bestFit="1" customWidth="1"/>
    <col min="503" max="503" width="9.109375" style="146"/>
    <col min="506" max="506" width="35.6640625" bestFit="1" customWidth="1"/>
    <col min="507" max="507" width="30.44140625" bestFit="1" customWidth="1"/>
    <col min="508" max="510" width="8.88671875" style="146"/>
    <col min="522" max="522" width="38.33203125" bestFit="1" customWidth="1"/>
    <col min="523" max="523" width="9.109375" style="146"/>
    <col min="532" max="532" width="32.44140625" bestFit="1" customWidth="1"/>
    <col min="533" max="535" width="8.88671875" style="146"/>
    <col min="557" max="557" width="31.6640625" bestFit="1" customWidth="1"/>
    <col min="558" max="560" width="8.88671875" style="146"/>
    <col min="583" max="585" width="8.88671875" style="146"/>
    <col min="606" max="606" width="40.6640625" bestFit="1" customWidth="1"/>
  </cols>
  <sheetData>
    <row r="1" spans="1:606" s="211" customFormat="1">
      <c r="A1" s="205" t="s">
        <v>535</v>
      </c>
      <c r="B1" s="205" t="s">
        <v>536</v>
      </c>
      <c r="C1" s="205" t="s">
        <v>1108</v>
      </c>
      <c r="D1" s="206" t="s">
        <v>537</v>
      </c>
      <c r="E1" s="206" t="s">
        <v>538</v>
      </c>
      <c r="F1" s="206" t="s">
        <v>539</v>
      </c>
      <c r="G1" s="206" t="s">
        <v>789</v>
      </c>
      <c r="H1" s="206" t="s">
        <v>790</v>
      </c>
      <c r="I1" s="206" t="s">
        <v>791</v>
      </c>
      <c r="J1" s="206" t="s">
        <v>792</v>
      </c>
      <c r="K1" s="206" t="s">
        <v>793</v>
      </c>
      <c r="L1" s="206" t="s">
        <v>794</v>
      </c>
      <c r="M1" s="206" t="s">
        <v>540</v>
      </c>
      <c r="N1" s="206" t="s">
        <v>541</v>
      </c>
      <c r="O1" s="206" t="s">
        <v>542</v>
      </c>
      <c r="P1" s="206" t="s">
        <v>543</v>
      </c>
      <c r="Q1" s="206" t="s">
        <v>544</v>
      </c>
      <c r="R1" s="206" t="s">
        <v>545</v>
      </c>
      <c r="S1" s="206" t="s">
        <v>546</v>
      </c>
      <c r="T1" s="206" t="s">
        <v>547</v>
      </c>
      <c r="U1" s="206" t="s">
        <v>548</v>
      </c>
      <c r="V1" s="207" t="s">
        <v>549</v>
      </c>
      <c r="W1" s="207" t="s">
        <v>550</v>
      </c>
      <c r="X1" s="207" t="s">
        <v>551</v>
      </c>
      <c r="Y1" s="207" t="s">
        <v>1086</v>
      </c>
      <c r="Z1" s="207" t="s">
        <v>1087</v>
      </c>
      <c r="AA1" s="207" t="s">
        <v>1088</v>
      </c>
      <c r="AB1" s="207" t="s">
        <v>1089</v>
      </c>
      <c r="AC1" s="207" t="s">
        <v>1090</v>
      </c>
      <c r="AD1" s="207" t="s">
        <v>1107</v>
      </c>
      <c r="AE1" s="207" t="s">
        <v>552</v>
      </c>
      <c r="AF1" s="207" t="s">
        <v>553</v>
      </c>
      <c r="AG1" s="207" t="s">
        <v>554</v>
      </c>
      <c r="AH1" s="207" t="s">
        <v>555</v>
      </c>
      <c r="AI1" s="207" t="s">
        <v>556</v>
      </c>
      <c r="AJ1" s="207" t="s">
        <v>557</v>
      </c>
      <c r="AK1" s="207" t="s">
        <v>558</v>
      </c>
      <c r="AL1" s="207" t="s">
        <v>559</v>
      </c>
      <c r="AM1" s="207" t="s">
        <v>560</v>
      </c>
      <c r="AN1" s="208" t="s">
        <v>561</v>
      </c>
      <c r="AO1" s="208" t="s">
        <v>562</v>
      </c>
      <c r="AP1" s="208" t="s">
        <v>563</v>
      </c>
      <c r="AQ1" s="208" t="s">
        <v>795</v>
      </c>
      <c r="AR1" s="208" t="s">
        <v>796</v>
      </c>
      <c r="AS1" s="208" t="s">
        <v>797</v>
      </c>
      <c r="AT1" s="208" t="s">
        <v>798</v>
      </c>
      <c r="AU1" s="208" t="s">
        <v>799</v>
      </c>
      <c r="AV1" s="208" t="s">
        <v>800</v>
      </c>
      <c r="AW1" s="208" t="s">
        <v>564</v>
      </c>
      <c r="AX1" s="208" t="s">
        <v>565</v>
      </c>
      <c r="AY1" s="208" t="s">
        <v>566</v>
      </c>
      <c r="AZ1" s="208" t="s">
        <v>567</v>
      </c>
      <c r="BA1" s="208" t="s">
        <v>568</v>
      </c>
      <c r="BB1" s="208" t="s">
        <v>569</v>
      </c>
      <c r="BC1" s="208" t="s">
        <v>570</v>
      </c>
      <c r="BD1" s="208" t="s">
        <v>571</v>
      </c>
      <c r="BE1" s="208" t="s">
        <v>572</v>
      </c>
      <c r="BF1" s="208" t="s">
        <v>573</v>
      </c>
      <c r="BG1" s="208" t="s">
        <v>574</v>
      </c>
      <c r="BH1" s="208" t="s">
        <v>575</v>
      </c>
      <c r="BI1" s="208" t="s">
        <v>801</v>
      </c>
      <c r="BJ1" s="208" t="s">
        <v>802</v>
      </c>
      <c r="BK1" s="208" t="s">
        <v>803</v>
      </c>
      <c r="BL1" s="208" t="s">
        <v>804</v>
      </c>
      <c r="BM1" s="208" t="s">
        <v>805</v>
      </c>
      <c r="BN1" s="208" t="s">
        <v>806</v>
      </c>
      <c r="BO1" s="208" t="s">
        <v>576</v>
      </c>
      <c r="BP1" s="208" t="s">
        <v>577</v>
      </c>
      <c r="BQ1" s="208" t="s">
        <v>578</v>
      </c>
      <c r="BR1" s="208" t="s">
        <v>579</v>
      </c>
      <c r="BS1" s="208" t="s">
        <v>580</v>
      </c>
      <c r="BT1" s="208" t="s">
        <v>581</v>
      </c>
      <c r="BU1" s="208" t="s">
        <v>582</v>
      </c>
      <c r="BV1" s="208" t="s">
        <v>583</v>
      </c>
      <c r="BW1" s="208" t="s">
        <v>584</v>
      </c>
      <c r="BX1" s="207" t="s">
        <v>585</v>
      </c>
      <c r="BY1" s="207" t="s">
        <v>586</v>
      </c>
      <c r="BZ1" s="207" t="s">
        <v>587</v>
      </c>
      <c r="CA1" s="207" t="s">
        <v>807</v>
      </c>
      <c r="CB1" s="207" t="s">
        <v>808</v>
      </c>
      <c r="CC1" s="207" t="s">
        <v>809</v>
      </c>
      <c r="CD1" s="207" t="s">
        <v>810</v>
      </c>
      <c r="CE1" s="207" t="s">
        <v>811</v>
      </c>
      <c r="CF1" s="207" t="s">
        <v>812</v>
      </c>
      <c r="CG1" s="207" t="s">
        <v>588</v>
      </c>
      <c r="CH1" s="207" t="s">
        <v>589</v>
      </c>
      <c r="CI1" s="207" t="s">
        <v>590</v>
      </c>
      <c r="CJ1" s="207" t="s">
        <v>591</v>
      </c>
      <c r="CK1" s="207" t="s">
        <v>592</v>
      </c>
      <c r="CL1" s="207" t="s">
        <v>593</v>
      </c>
      <c r="CM1" s="207" t="s">
        <v>594</v>
      </c>
      <c r="CN1" s="207" t="s">
        <v>595</v>
      </c>
      <c r="CO1" s="207" t="s">
        <v>596</v>
      </c>
      <c r="CP1" s="208" t="s">
        <v>597</v>
      </c>
      <c r="CQ1" s="208" t="s">
        <v>598</v>
      </c>
      <c r="CR1" s="208" t="s">
        <v>599</v>
      </c>
      <c r="CS1" s="208" t="s">
        <v>813</v>
      </c>
      <c r="CT1" s="208" t="s">
        <v>814</v>
      </c>
      <c r="CU1" s="208" t="s">
        <v>815</v>
      </c>
      <c r="CV1" s="208" t="s">
        <v>816</v>
      </c>
      <c r="CW1" s="208" t="s">
        <v>817</v>
      </c>
      <c r="CX1" s="208" t="s">
        <v>818</v>
      </c>
      <c r="CY1" s="208" t="s">
        <v>600</v>
      </c>
      <c r="CZ1" s="208" t="s">
        <v>601</v>
      </c>
      <c r="DA1" s="208" t="s">
        <v>602</v>
      </c>
      <c r="DB1" s="208" t="s">
        <v>603</v>
      </c>
      <c r="DC1" s="208" t="s">
        <v>604</v>
      </c>
      <c r="DD1" s="208" t="s">
        <v>605</v>
      </c>
      <c r="DE1" s="208" t="s">
        <v>606</v>
      </c>
      <c r="DF1" s="208" t="s">
        <v>607</v>
      </c>
      <c r="DG1" s="208" t="s">
        <v>608</v>
      </c>
      <c r="DH1" s="207" t="s">
        <v>609</v>
      </c>
      <c r="DI1" s="207" t="s">
        <v>610</v>
      </c>
      <c r="DJ1" s="207" t="s">
        <v>611</v>
      </c>
      <c r="DK1" s="207" t="s">
        <v>819</v>
      </c>
      <c r="DL1" s="207" t="s">
        <v>820</v>
      </c>
      <c r="DM1" s="207" t="s">
        <v>821</v>
      </c>
      <c r="DN1" s="207" t="s">
        <v>822</v>
      </c>
      <c r="DO1" s="207" t="s">
        <v>823</v>
      </c>
      <c r="DP1" s="207" t="s">
        <v>824</v>
      </c>
      <c r="DQ1" s="207" t="s">
        <v>612</v>
      </c>
      <c r="DR1" s="207" t="s">
        <v>613</v>
      </c>
      <c r="DS1" s="207" t="s">
        <v>614</v>
      </c>
      <c r="DT1" s="207" t="s">
        <v>615</v>
      </c>
      <c r="DU1" s="207" t="s">
        <v>616</v>
      </c>
      <c r="DV1" s="207" t="s">
        <v>617</v>
      </c>
      <c r="DW1" s="207" t="s">
        <v>618</v>
      </c>
      <c r="DX1" s="207" t="s">
        <v>619</v>
      </c>
      <c r="DY1" s="207" t="s">
        <v>620</v>
      </c>
      <c r="DZ1" s="208" t="s">
        <v>621</v>
      </c>
      <c r="EA1" s="208" t="s">
        <v>622</v>
      </c>
      <c r="EB1" s="208" t="s">
        <v>623</v>
      </c>
      <c r="EC1" s="208" t="s">
        <v>825</v>
      </c>
      <c r="ED1" s="208" t="s">
        <v>826</v>
      </c>
      <c r="EE1" s="208" t="s">
        <v>827</v>
      </c>
      <c r="EF1" s="208" t="s">
        <v>828</v>
      </c>
      <c r="EG1" s="208" t="s">
        <v>829</v>
      </c>
      <c r="EH1" s="208" t="s">
        <v>830</v>
      </c>
      <c r="EI1" s="208" t="s">
        <v>624</v>
      </c>
      <c r="EJ1" s="208" t="s">
        <v>625</v>
      </c>
      <c r="EK1" s="208" t="s">
        <v>626</v>
      </c>
      <c r="EL1" s="208" t="s">
        <v>627</v>
      </c>
      <c r="EM1" s="208" t="s">
        <v>628</v>
      </c>
      <c r="EN1" s="208" t="s">
        <v>629</v>
      </c>
      <c r="EO1" s="208" t="s">
        <v>630</v>
      </c>
      <c r="EP1" s="208" t="s">
        <v>631</v>
      </c>
      <c r="EQ1" s="208" t="s">
        <v>632</v>
      </c>
      <c r="ER1" s="207" t="s">
        <v>633</v>
      </c>
      <c r="ES1" s="207" t="s">
        <v>634</v>
      </c>
      <c r="ET1" s="207" t="s">
        <v>635</v>
      </c>
      <c r="EU1" s="207" t="s">
        <v>831</v>
      </c>
      <c r="EV1" s="207" t="s">
        <v>832</v>
      </c>
      <c r="EW1" s="207" t="s">
        <v>833</v>
      </c>
      <c r="EX1" s="207" t="s">
        <v>834</v>
      </c>
      <c r="EY1" s="207" t="s">
        <v>835</v>
      </c>
      <c r="EZ1" s="207" t="s">
        <v>836</v>
      </c>
      <c r="FA1" s="207" t="s">
        <v>636</v>
      </c>
      <c r="FB1" s="207" t="s">
        <v>637</v>
      </c>
      <c r="FC1" s="207" t="s">
        <v>638</v>
      </c>
      <c r="FD1" s="207" t="s">
        <v>639</v>
      </c>
      <c r="FE1" s="207" t="s">
        <v>640</v>
      </c>
      <c r="FF1" s="207" t="s">
        <v>641</v>
      </c>
      <c r="FG1" s="207" t="s">
        <v>642</v>
      </c>
      <c r="FH1" s="207" t="s">
        <v>643</v>
      </c>
      <c r="FI1" s="207" t="s">
        <v>644</v>
      </c>
      <c r="FJ1" s="208" t="s">
        <v>645</v>
      </c>
      <c r="FK1" s="208" t="s">
        <v>646</v>
      </c>
      <c r="FL1" s="208" t="s">
        <v>647</v>
      </c>
      <c r="FM1" s="208" t="s">
        <v>837</v>
      </c>
      <c r="FN1" s="208" t="s">
        <v>838</v>
      </c>
      <c r="FO1" s="208" t="s">
        <v>839</v>
      </c>
      <c r="FP1" s="208" t="s">
        <v>840</v>
      </c>
      <c r="FQ1" s="208" t="s">
        <v>841</v>
      </c>
      <c r="FR1" s="208" t="s">
        <v>842</v>
      </c>
      <c r="FS1" s="208" t="s">
        <v>648</v>
      </c>
      <c r="FT1" s="208" t="s">
        <v>649</v>
      </c>
      <c r="FU1" s="208" t="s">
        <v>650</v>
      </c>
      <c r="FV1" s="208" t="s">
        <v>651</v>
      </c>
      <c r="FW1" s="208" t="s">
        <v>652</v>
      </c>
      <c r="FX1" s="208" t="s">
        <v>653</v>
      </c>
      <c r="FY1" s="208" t="s">
        <v>654</v>
      </c>
      <c r="FZ1" s="208" t="s">
        <v>655</v>
      </c>
      <c r="GA1" s="208" t="s">
        <v>656</v>
      </c>
      <c r="GB1" s="207" t="s">
        <v>657</v>
      </c>
      <c r="GC1" s="207" t="s">
        <v>658</v>
      </c>
      <c r="GD1" s="207" t="s">
        <v>659</v>
      </c>
      <c r="GE1" s="207" t="s">
        <v>843</v>
      </c>
      <c r="GF1" s="207" t="s">
        <v>844</v>
      </c>
      <c r="GG1" s="207" t="s">
        <v>845</v>
      </c>
      <c r="GH1" s="207" t="s">
        <v>846</v>
      </c>
      <c r="GI1" s="207" t="s">
        <v>847</v>
      </c>
      <c r="GJ1" s="207" t="s">
        <v>848</v>
      </c>
      <c r="GK1" s="207" t="s">
        <v>660</v>
      </c>
      <c r="GL1" s="207" t="s">
        <v>661</v>
      </c>
      <c r="GM1" s="207" t="s">
        <v>662</v>
      </c>
      <c r="GN1" s="207" t="s">
        <v>663</v>
      </c>
      <c r="GO1" s="207" t="s">
        <v>664</v>
      </c>
      <c r="GP1" s="207" t="s">
        <v>665</v>
      </c>
      <c r="GQ1" s="207" t="s">
        <v>666</v>
      </c>
      <c r="GR1" s="207" t="s">
        <v>667</v>
      </c>
      <c r="GS1" s="207" t="s">
        <v>668</v>
      </c>
      <c r="GT1" s="208" t="s">
        <v>669</v>
      </c>
      <c r="GU1" s="208" t="s">
        <v>670</v>
      </c>
      <c r="GV1" s="208" t="s">
        <v>671</v>
      </c>
      <c r="GW1" s="208" t="s">
        <v>849</v>
      </c>
      <c r="GX1" s="208" t="s">
        <v>850</v>
      </c>
      <c r="GY1" s="208" t="s">
        <v>851</v>
      </c>
      <c r="GZ1" s="208" t="s">
        <v>852</v>
      </c>
      <c r="HA1" s="208" t="s">
        <v>853</v>
      </c>
      <c r="HB1" s="208" t="s">
        <v>854</v>
      </c>
      <c r="HC1" s="208" t="s">
        <v>672</v>
      </c>
      <c r="HD1" s="208" t="s">
        <v>673</v>
      </c>
      <c r="HE1" s="208" t="s">
        <v>674</v>
      </c>
      <c r="HF1" s="208" t="s">
        <v>675</v>
      </c>
      <c r="HG1" s="208" t="s">
        <v>676</v>
      </c>
      <c r="HH1" s="208" t="s">
        <v>677</v>
      </c>
      <c r="HI1" s="208" t="s">
        <v>678</v>
      </c>
      <c r="HJ1" s="208" t="s">
        <v>679</v>
      </c>
      <c r="HK1" s="208" t="s">
        <v>680</v>
      </c>
      <c r="HL1" s="207" t="s">
        <v>681</v>
      </c>
      <c r="HM1" s="207" t="s">
        <v>682</v>
      </c>
      <c r="HN1" s="207" t="s">
        <v>683</v>
      </c>
      <c r="HO1" s="207" t="s">
        <v>855</v>
      </c>
      <c r="HP1" s="207" t="s">
        <v>856</v>
      </c>
      <c r="HQ1" s="207" t="s">
        <v>857</v>
      </c>
      <c r="HR1" s="207" t="s">
        <v>858</v>
      </c>
      <c r="HS1" s="207" t="s">
        <v>859</v>
      </c>
      <c r="HT1" s="207" t="s">
        <v>860</v>
      </c>
      <c r="HU1" s="207" t="s">
        <v>684</v>
      </c>
      <c r="HV1" s="207" t="s">
        <v>685</v>
      </c>
      <c r="HW1" s="207" t="s">
        <v>686</v>
      </c>
      <c r="HX1" s="207" t="s">
        <v>687</v>
      </c>
      <c r="HY1" s="207" t="s">
        <v>688</v>
      </c>
      <c r="HZ1" s="207" t="s">
        <v>689</v>
      </c>
      <c r="IA1" s="207" t="s">
        <v>690</v>
      </c>
      <c r="IB1" s="207" t="s">
        <v>691</v>
      </c>
      <c r="IC1" s="207" t="s">
        <v>692</v>
      </c>
      <c r="ID1" s="208" t="s">
        <v>693</v>
      </c>
      <c r="IE1" s="208" t="s">
        <v>694</v>
      </c>
      <c r="IF1" s="208" t="s">
        <v>695</v>
      </c>
      <c r="IG1" s="208" t="s">
        <v>861</v>
      </c>
      <c r="IH1" s="208" t="s">
        <v>862</v>
      </c>
      <c r="II1" s="208" t="s">
        <v>863</v>
      </c>
      <c r="IJ1" s="208" t="s">
        <v>864</v>
      </c>
      <c r="IK1" s="208" t="s">
        <v>865</v>
      </c>
      <c r="IL1" s="208" t="s">
        <v>866</v>
      </c>
      <c r="IM1" s="208" t="s">
        <v>696</v>
      </c>
      <c r="IN1" s="208" t="s">
        <v>697</v>
      </c>
      <c r="IO1" s="208" t="s">
        <v>698</v>
      </c>
      <c r="IP1" s="208" t="s">
        <v>699</v>
      </c>
      <c r="IQ1" s="208" t="s">
        <v>700</v>
      </c>
      <c r="IR1" s="208" t="s">
        <v>701</v>
      </c>
      <c r="IS1" s="208" t="s">
        <v>702</v>
      </c>
      <c r="IT1" s="208" t="s">
        <v>703</v>
      </c>
      <c r="IU1" s="208" t="s">
        <v>704</v>
      </c>
      <c r="IV1" s="207" t="s">
        <v>705</v>
      </c>
      <c r="IW1" s="207" t="s">
        <v>706</v>
      </c>
      <c r="IX1" s="207" t="s">
        <v>707</v>
      </c>
      <c r="IY1" s="207" t="s">
        <v>867</v>
      </c>
      <c r="IZ1" s="207" t="s">
        <v>868</v>
      </c>
      <c r="JA1" s="207" t="s">
        <v>869</v>
      </c>
      <c r="JB1" s="207" t="s">
        <v>870</v>
      </c>
      <c r="JC1" s="207" t="s">
        <v>871</v>
      </c>
      <c r="JD1" s="207" t="s">
        <v>872</v>
      </c>
      <c r="JE1" s="207" t="s">
        <v>708</v>
      </c>
      <c r="JF1" s="207" t="s">
        <v>709</v>
      </c>
      <c r="JG1" s="207" t="s">
        <v>710</v>
      </c>
      <c r="JH1" s="207" t="s">
        <v>711</v>
      </c>
      <c r="JI1" s="207" t="s">
        <v>712</v>
      </c>
      <c r="JJ1" s="207" t="s">
        <v>713</v>
      </c>
      <c r="JK1" s="207" t="s">
        <v>714</v>
      </c>
      <c r="JL1" s="207" t="s">
        <v>715</v>
      </c>
      <c r="JM1" s="207" t="s">
        <v>716</v>
      </c>
      <c r="JN1" s="208" t="s">
        <v>717</v>
      </c>
      <c r="JO1" s="208" t="s">
        <v>718</v>
      </c>
      <c r="JP1" s="208" t="s">
        <v>719</v>
      </c>
      <c r="JQ1" s="208" t="s">
        <v>873</v>
      </c>
      <c r="JR1" s="208" t="s">
        <v>874</v>
      </c>
      <c r="JS1" s="208" t="s">
        <v>875</v>
      </c>
      <c r="JT1" s="208" t="s">
        <v>876</v>
      </c>
      <c r="JU1" s="208" t="s">
        <v>877</v>
      </c>
      <c r="JV1" s="208" t="s">
        <v>878</v>
      </c>
      <c r="JW1" s="208" t="s">
        <v>720</v>
      </c>
      <c r="JX1" s="208" t="s">
        <v>721</v>
      </c>
      <c r="JY1" s="208" t="s">
        <v>722</v>
      </c>
      <c r="JZ1" s="208" t="s">
        <v>723</v>
      </c>
      <c r="KA1" s="208" t="s">
        <v>724</v>
      </c>
      <c r="KB1" s="208" t="s">
        <v>725</v>
      </c>
      <c r="KC1" s="208" t="s">
        <v>726</v>
      </c>
      <c r="KD1" s="208" t="s">
        <v>727</v>
      </c>
      <c r="KE1" s="208" t="s">
        <v>728</v>
      </c>
      <c r="KF1" s="207" t="s">
        <v>729</v>
      </c>
      <c r="KG1" s="207" t="s">
        <v>730</v>
      </c>
      <c r="KH1" s="207" t="s">
        <v>731</v>
      </c>
      <c r="KI1" s="207" t="s">
        <v>1101</v>
      </c>
      <c r="KJ1" s="207" t="s">
        <v>1102</v>
      </c>
      <c r="KK1" s="207" t="s">
        <v>1103</v>
      </c>
      <c r="KL1" s="207" t="s">
        <v>1104</v>
      </c>
      <c r="KM1" s="207" t="s">
        <v>1105</v>
      </c>
      <c r="KN1" s="207" t="s">
        <v>1106</v>
      </c>
      <c r="KO1" s="207" t="s">
        <v>732</v>
      </c>
      <c r="KP1" s="207" t="s">
        <v>733</v>
      </c>
      <c r="KQ1" s="207" t="s">
        <v>734</v>
      </c>
      <c r="KR1" s="207" t="s">
        <v>735</v>
      </c>
      <c r="KS1" s="207" t="s">
        <v>736</v>
      </c>
      <c r="KT1" s="207" t="s">
        <v>737</v>
      </c>
      <c r="KU1" s="207" t="s">
        <v>738</v>
      </c>
      <c r="KV1" s="207" t="s">
        <v>739</v>
      </c>
      <c r="KW1" s="207" t="s">
        <v>740</v>
      </c>
      <c r="KX1" s="208" t="s">
        <v>741</v>
      </c>
      <c r="KY1" s="208" t="s">
        <v>742</v>
      </c>
      <c r="KZ1" s="208" t="s">
        <v>743</v>
      </c>
      <c r="LA1" s="208" t="s">
        <v>879</v>
      </c>
      <c r="LB1" s="208" t="s">
        <v>880</v>
      </c>
      <c r="LC1" s="208" t="s">
        <v>881</v>
      </c>
      <c r="LD1" s="208" t="s">
        <v>882</v>
      </c>
      <c r="LE1" s="208" t="s">
        <v>883</v>
      </c>
      <c r="LF1" s="208" t="s">
        <v>884</v>
      </c>
      <c r="LG1" s="208" t="s">
        <v>744</v>
      </c>
      <c r="LH1" s="208" t="s">
        <v>745</v>
      </c>
      <c r="LI1" s="208" t="s">
        <v>746</v>
      </c>
      <c r="LJ1" s="208" t="s">
        <v>747</v>
      </c>
      <c r="LK1" s="208" t="s">
        <v>748</v>
      </c>
      <c r="LL1" s="208" t="s">
        <v>749</v>
      </c>
      <c r="LM1" s="208" t="s">
        <v>750</v>
      </c>
      <c r="LN1" s="208" t="s">
        <v>751</v>
      </c>
      <c r="LO1" s="208" t="s">
        <v>752</v>
      </c>
      <c r="LP1" s="207" t="s">
        <v>753</v>
      </c>
      <c r="LQ1" s="207" t="s">
        <v>754</v>
      </c>
      <c r="LR1" s="207" t="s">
        <v>755</v>
      </c>
      <c r="LS1" s="207" t="s">
        <v>885</v>
      </c>
      <c r="LT1" s="207" t="s">
        <v>886</v>
      </c>
      <c r="LU1" s="207" t="s">
        <v>887</v>
      </c>
      <c r="LV1" s="207" t="s">
        <v>888</v>
      </c>
      <c r="LW1" s="207" t="s">
        <v>889</v>
      </c>
      <c r="LX1" s="207" t="s">
        <v>890</v>
      </c>
      <c r="LY1" s="207" t="s">
        <v>756</v>
      </c>
      <c r="LZ1" s="207" t="s">
        <v>757</v>
      </c>
      <c r="MA1" s="207" t="s">
        <v>758</v>
      </c>
      <c r="MB1" s="207" t="s">
        <v>759</v>
      </c>
      <c r="MC1" s="207" t="s">
        <v>760</v>
      </c>
      <c r="MD1" s="207" t="s">
        <v>761</v>
      </c>
      <c r="ME1" s="207" t="s">
        <v>762</v>
      </c>
      <c r="MF1" s="207" t="s">
        <v>763</v>
      </c>
      <c r="MG1" s="207" t="s">
        <v>764</v>
      </c>
      <c r="MH1" s="208" t="s">
        <v>765</v>
      </c>
      <c r="MI1" s="208" t="s">
        <v>766</v>
      </c>
      <c r="MJ1" s="208" t="s">
        <v>767</v>
      </c>
      <c r="MK1" s="208" t="s">
        <v>1091</v>
      </c>
      <c r="ML1" s="208" t="s">
        <v>1092</v>
      </c>
      <c r="MM1" s="208" t="s">
        <v>1093</v>
      </c>
      <c r="MN1" s="208" t="s">
        <v>1094</v>
      </c>
      <c r="MO1" s="208" t="s">
        <v>1095</v>
      </c>
      <c r="MP1" s="208" t="s">
        <v>1096</v>
      </c>
      <c r="MQ1" s="208" t="s">
        <v>768</v>
      </c>
      <c r="MR1" s="208" t="s">
        <v>769</v>
      </c>
      <c r="MS1" s="208" t="s">
        <v>770</v>
      </c>
      <c r="MT1" s="208" t="s">
        <v>771</v>
      </c>
      <c r="MU1" s="208" t="s">
        <v>772</v>
      </c>
      <c r="MV1" s="208" t="s">
        <v>773</v>
      </c>
      <c r="MW1" s="208" t="s">
        <v>774</v>
      </c>
      <c r="MX1" s="208" t="s">
        <v>775</v>
      </c>
      <c r="MY1" s="208" t="s">
        <v>776</v>
      </c>
      <c r="MZ1" s="207" t="s">
        <v>777</v>
      </c>
      <c r="NA1" s="207" t="s">
        <v>778</v>
      </c>
      <c r="NB1" s="207" t="s">
        <v>779</v>
      </c>
      <c r="NC1" s="207" t="s">
        <v>891</v>
      </c>
      <c r="ND1" s="207" t="s">
        <v>892</v>
      </c>
      <c r="NE1" s="207" t="s">
        <v>893</v>
      </c>
      <c r="NF1" s="207" t="s">
        <v>894</v>
      </c>
      <c r="NG1" s="207" t="s">
        <v>895</v>
      </c>
      <c r="NH1" s="207" t="s">
        <v>896</v>
      </c>
      <c r="NI1" s="207" t="s">
        <v>780</v>
      </c>
      <c r="NJ1" s="207" t="s">
        <v>781</v>
      </c>
      <c r="NK1" s="207" t="s">
        <v>782</v>
      </c>
      <c r="NL1" s="207" t="s">
        <v>783</v>
      </c>
      <c r="NM1" s="207" t="s">
        <v>784</v>
      </c>
      <c r="NN1" s="207" t="s">
        <v>785</v>
      </c>
      <c r="NO1" s="207" t="s">
        <v>786</v>
      </c>
      <c r="NP1" s="207" t="s">
        <v>787</v>
      </c>
      <c r="NQ1" s="207" t="s">
        <v>788</v>
      </c>
      <c r="NR1" s="208" t="s">
        <v>1117</v>
      </c>
      <c r="NS1" s="208" t="s">
        <v>1118</v>
      </c>
      <c r="NT1" s="208" t="s">
        <v>1119</v>
      </c>
      <c r="NU1" s="208" t="s">
        <v>1120</v>
      </c>
      <c r="NV1" s="208" t="s">
        <v>897</v>
      </c>
      <c r="NW1" s="208" t="s">
        <v>898</v>
      </c>
      <c r="NX1" s="208" t="s">
        <v>899</v>
      </c>
      <c r="NY1" s="208" t="s">
        <v>900</v>
      </c>
      <c r="NZ1" s="208" t="s">
        <v>901</v>
      </c>
      <c r="OA1" s="208" t="s">
        <v>902</v>
      </c>
      <c r="OB1" s="208" t="s">
        <v>903</v>
      </c>
      <c r="OC1" s="208" t="s">
        <v>904</v>
      </c>
      <c r="OD1" s="208" t="s">
        <v>905</v>
      </c>
      <c r="OE1" s="208" t="s">
        <v>906</v>
      </c>
      <c r="OF1" s="208" t="s">
        <v>907</v>
      </c>
      <c r="OG1" s="208" t="s">
        <v>908</v>
      </c>
      <c r="OH1" s="208" t="s">
        <v>981</v>
      </c>
      <c r="OI1" s="208" t="s">
        <v>982</v>
      </c>
      <c r="OJ1" s="208" t="s">
        <v>983</v>
      </c>
      <c r="OK1" s="208" t="s">
        <v>984</v>
      </c>
      <c r="OL1" s="208" t="s">
        <v>985</v>
      </c>
      <c r="OM1" s="208" t="s">
        <v>909</v>
      </c>
      <c r="ON1" s="208" t="s">
        <v>986</v>
      </c>
      <c r="OO1" s="208" t="s">
        <v>987</v>
      </c>
      <c r="OP1" s="208" t="s">
        <v>910</v>
      </c>
      <c r="OQ1" s="208" t="s">
        <v>1121</v>
      </c>
      <c r="OR1" s="208" t="s">
        <v>1122</v>
      </c>
      <c r="OS1" s="208" t="s">
        <v>1123</v>
      </c>
      <c r="OT1" s="208" t="s">
        <v>1124</v>
      </c>
      <c r="OU1" s="208" t="s">
        <v>925</v>
      </c>
      <c r="OV1" s="208" t="s">
        <v>926</v>
      </c>
      <c r="OW1" s="208" t="s">
        <v>927</v>
      </c>
      <c r="OX1" s="208" t="s">
        <v>928</v>
      </c>
      <c r="OY1" s="208" t="s">
        <v>929</v>
      </c>
      <c r="OZ1" s="208" t="s">
        <v>930</v>
      </c>
      <c r="PA1" s="208" t="s">
        <v>931</v>
      </c>
      <c r="PB1" s="208" t="s">
        <v>932</v>
      </c>
      <c r="PC1" s="208" t="s">
        <v>933</v>
      </c>
      <c r="PD1" s="208" t="s">
        <v>934</v>
      </c>
      <c r="PE1" s="208" t="s">
        <v>935</v>
      </c>
      <c r="PF1" s="208" t="s">
        <v>936</v>
      </c>
      <c r="PG1" s="208" t="s">
        <v>988</v>
      </c>
      <c r="PH1" s="208" t="s">
        <v>989</v>
      </c>
      <c r="PI1" s="208" t="s">
        <v>990</v>
      </c>
      <c r="PJ1" s="208" t="s">
        <v>991</v>
      </c>
      <c r="PK1" s="208" t="s">
        <v>992</v>
      </c>
      <c r="PL1" s="208" t="s">
        <v>937</v>
      </c>
      <c r="PM1" s="208" t="s">
        <v>993</v>
      </c>
      <c r="PN1" s="208" t="s">
        <v>994</v>
      </c>
      <c r="PO1" s="208" t="s">
        <v>938</v>
      </c>
      <c r="PP1" s="208" t="s">
        <v>1125</v>
      </c>
      <c r="PQ1" s="208" t="s">
        <v>1126</v>
      </c>
      <c r="PR1" s="208" t="s">
        <v>1127</v>
      </c>
      <c r="PS1" s="208" t="s">
        <v>1128</v>
      </c>
      <c r="PT1" s="208" t="s">
        <v>939</v>
      </c>
      <c r="PU1" s="208" t="s">
        <v>940</v>
      </c>
      <c r="PV1" s="208" t="s">
        <v>941</v>
      </c>
      <c r="PW1" s="208" t="s">
        <v>942</v>
      </c>
      <c r="PX1" s="208" t="s">
        <v>943</v>
      </c>
      <c r="PY1" s="208" t="s">
        <v>944</v>
      </c>
      <c r="PZ1" s="208" t="s">
        <v>945</v>
      </c>
      <c r="QA1" s="208" t="s">
        <v>946</v>
      </c>
      <c r="QB1" s="208" t="s">
        <v>947</v>
      </c>
      <c r="QC1" s="208" t="s">
        <v>948</v>
      </c>
      <c r="QD1" s="208" t="s">
        <v>949</v>
      </c>
      <c r="QE1" s="208" t="s">
        <v>950</v>
      </c>
      <c r="QF1" s="208" t="s">
        <v>995</v>
      </c>
      <c r="QG1" s="208" t="s">
        <v>996</v>
      </c>
      <c r="QH1" s="208" t="s">
        <v>997</v>
      </c>
      <c r="QI1" s="208" t="s">
        <v>998</v>
      </c>
      <c r="QJ1" s="208" t="s">
        <v>999</v>
      </c>
      <c r="QK1" s="208" t="s">
        <v>951</v>
      </c>
      <c r="QL1" s="208" t="s">
        <v>1000</v>
      </c>
      <c r="QM1" s="208" t="s">
        <v>1001</v>
      </c>
      <c r="QN1" s="208" t="s">
        <v>952</v>
      </c>
      <c r="QO1" s="208" t="s">
        <v>1129</v>
      </c>
      <c r="QP1" s="208" t="s">
        <v>1130</v>
      </c>
      <c r="QQ1" s="208" t="s">
        <v>1131</v>
      </c>
      <c r="QR1" s="208" t="s">
        <v>1132</v>
      </c>
      <c r="QS1" s="208" t="s">
        <v>953</v>
      </c>
      <c r="QT1" s="208" t="s">
        <v>954</v>
      </c>
      <c r="QU1" s="208" t="s">
        <v>955</v>
      </c>
      <c r="QV1" s="208" t="s">
        <v>956</v>
      </c>
      <c r="QW1" s="208" t="s">
        <v>957</v>
      </c>
      <c r="QX1" s="208" t="s">
        <v>958</v>
      </c>
      <c r="QY1" s="208" t="s">
        <v>959</v>
      </c>
      <c r="QZ1" s="208" t="s">
        <v>960</v>
      </c>
      <c r="RA1" s="208" t="s">
        <v>961</v>
      </c>
      <c r="RB1" s="208" t="s">
        <v>962</v>
      </c>
      <c r="RC1" s="208" t="s">
        <v>963</v>
      </c>
      <c r="RD1" s="208" t="s">
        <v>964</v>
      </c>
      <c r="RE1" s="208" t="s">
        <v>1002</v>
      </c>
      <c r="RF1" s="208" t="s">
        <v>1003</v>
      </c>
      <c r="RG1" s="208" t="s">
        <v>1004</v>
      </c>
      <c r="RH1" s="208" t="s">
        <v>1005</v>
      </c>
      <c r="RI1" s="208" t="s">
        <v>1006</v>
      </c>
      <c r="RJ1" s="208" t="s">
        <v>965</v>
      </c>
      <c r="RK1" s="208" t="s">
        <v>1007</v>
      </c>
      <c r="RL1" s="208" t="s">
        <v>1008</v>
      </c>
      <c r="RM1" s="208" t="s">
        <v>966</v>
      </c>
      <c r="RN1" s="208" t="s">
        <v>1133</v>
      </c>
      <c r="RO1" s="208" t="s">
        <v>1134</v>
      </c>
      <c r="RP1" s="208" t="s">
        <v>1135</v>
      </c>
      <c r="RQ1" s="208" t="s">
        <v>1136</v>
      </c>
      <c r="RR1" s="208" t="s">
        <v>911</v>
      </c>
      <c r="RS1" s="208" t="s">
        <v>912</v>
      </c>
      <c r="RT1" s="208" t="s">
        <v>913</v>
      </c>
      <c r="RU1" s="208" t="s">
        <v>914</v>
      </c>
      <c r="RV1" s="208" t="s">
        <v>915</v>
      </c>
      <c r="RW1" s="208" t="s">
        <v>916</v>
      </c>
      <c r="RX1" s="208" t="s">
        <v>917</v>
      </c>
      <c r="RY1" s="208" t="s">
        <v>918</v>
      </c>
      <c r="RZ1" s="208" t="s">
        <v>919</v>
      </c>
      <c r="SA1" s="208" t="s">
        <v>920</v>
      </c>
      <c r="SB1" s="208" t="s">
        <v>921</v>
      </c>
      <c r="SC1" s="208" t="s">
        <v>922</v>
      </c>
      <c r="SD1" s="208" t="s">
        <v>1015</v>
      </c>
      <c r="SE1" s="208" t="s">
        <v>1016</v>
      </c>
      <c r="SF1" s="208" t="s">
        <v>1017</v>
      </c>
      <c r="SG1" s="208" t="s">
        <v>1018</v>
      </c>
      <c r="SH1" s="208" t="s">
        <v>1019</v>
      </c>
      <c r="SI1" s="208" t="s">
        <v>923</v>
      </c>
      <c r="SJ1" s="208" t="s">
        <v>1020</v>
      </c>
      <c r="SK1" s="208" t="s">
        <v>1021</v>
      </c>
      <c r="SL1" s="208" t="s">
        <v>924</v>
      </c>
      <c r="SM1" s="208" t="s">
        <v>1137</v>
      </c>
      <c r="SN1" s="208" t="s">
        <v>1138</v>
      </c>
      <c r="SO1" s="208" t="s">
        <v>1139</v>
      </c>
      <c r="SP1" s="208" t="s">
        <v>1140</v>
      </c>
      <c r="SQ1" s="208" t="s">
        <v>967</v>
      </c>
      <c r="SR1" s="208" t="s">
        <v>968</v>
      </c>
      <c r="SS1" s="208" t="s">
        <v>969</v>
      </c>
      <c r="ST1" s="208" t="s">
        <v>970</v>
      </c>
      <c r="SU1" s="208" t="s">
        <v>971</v>
      </c>
      <c r="SV1" s="208" t="s">
        <v>972</v>
      </c>
      <c r="SW1" s="208" t="s">
        <v>973</v>
      </c>
      <c r="SX1" s="208" t="s">
        <v>974</v>
      </c>
      <c r="SY1" s="208" t="s">
        <v>975</v>
      </c>
      <c r="SZ1" s="208" t="s">
        <v>976</v>
      </c>
      <c r="TA1" s="208" t="s">
        <v>977</v>
      </c>
      <c r="TB1" s="208" t="s">
        <v>978</v>
      </c>
      <c r="TC1" s="208" t="s">
        <v>1009</v>
      </c>
      <c r="TD1" s="208" t="s">
        <v>1010</v>
      </c>
      <c r="TE1" s="208" t="s">
        <v>1011</v>
      </c>
      <c r="TF1" s="208" t="s">
        <v>1012</v>
      </c>
      <c r="TG1" s="208" t="s">
        <v>1013</v>
      </c>
      <c r="TH1" s="208" t="s">
        <v>979</v>
      </c>
      <c r="TI1" s="208" t="s">
        <v>1014</v>
      </c>
      <c r="TJ1" s="208" t="s">
        <v>1100</v>
      </c>
      <c r="TK1" s="208" t="s">
        <v>980</v>
      </c>
      <c r="TL1" s="208" t="s">
        <v>1141</v>
      </c>
      <c r="TM1" s="208" t="s">
        <v>1142</v>
      </c>
      <c r="TN1" s="208" t="s">
        <v>1143</v>
      </c>
      <c r="TO1" s="208" t="s">
        <v>1144</v>
      </c>
      <c r="TP1" s="208" t="s">
        <v>1022</v>
      </c>
      <c r="TQ1" s="208" t="s">
        <v>1023</v>
      </c>
      <c r="TR1" s="208" t="s">
        <v>1024</v>
      </c>
      <c r="TS1" s="208" t="s">
        <v>1025</v>
      </c>
      <c r="TT1" s="208" t="s">
        <v>1026</v>
      </c>
      <c r="TU1" s="208" t="s">
        <v>1027</v>
      </c>
      <c r="TV1" s="208" t="s">
        <v>1028</v>
      </c>
      <c r="TW1" s="208" t="s">
        <v>1029</v>
      </c>
      <c r="TX1" s="208" t="s">
        <v>1030</v>
      </c>
      <c r="TY1" s="208" t="s">
        <v>1031</v>
      </c>
      <c r="TZ1" s="208" t="s">
        <v>1032</v>
      </c>
      <c r="UA1" s="208" t="s">
        <v>1033</v>
      </c>
      <c r="UB1" s="208" t="s">
        <v>1034</v>
      </c>
      <c r="UC1" s="208" t="s">
        <v>1035</v>
      </c>
      <c r="UD1" s="208" t="s">
        <v>1036</v>
      </c>
      <c r="UE1" s="208" t="s">
        <v>1037</v>
      </c>
      <c r="UF1" s="208" t="s">
        <v>1038</v>
      </c>
      <c r="UG1" s="208" t="s">
        <v>1039</v>
      </c>
      <c r="UH1" s="208" t="s">
        <v>1040</v>
      </c>
      <c r="UI1" s="208" t="s">
        <v>1041</v>
      </c>
      <c r="UJ1" s="208" t="s">
        <v>1042</v>
      </c>
      <c r="UK1" s="209" t="s">
        <v>1145</v>
      </c>
      <c r="UL1" s="209" t="s">
        <v>1146</v>
      </c>
      <c r="UM1" s="209" t="s">
        <v>1147</v>
      </c>
      <c r="UN1" s="209" t="s">
        <v>1148</v>
      </c>
      <c r="UO1" s="209" t="s">
        <v>1043</v>
      </c>
      <c r="UP1" s="209" t="s">
        <v>1044</v>
      </c>
      <c r="UQ1" s="209" t="s">
        <v>1045</v>
      </c>
      <c r="UR1" s="209" t="s">
        <v>1046</v>
      </c>
      <c r="US1" s="209" t="s">
        <v>1047</v>
      </c>
      <c r="UT1" s="209" t="s">
        <v>1048</v>
      </c>
      <c r="UU1" s="209" t="s">
        <v>1049</v>
      </c>
      <c r="UV1" s="209" t="s">
        <v>1050</v>
      </c>
      <c r="UW1" s="209" t="s">
        <v>1051</v>
      </c>
      <c r="UX1" s="209" t="s">
        <v>1052</v>
      </c>
      <c r="UY1" s="209" t="s">
        <v>1053</v>
      </c>
      <c r="UZ1" s="209" t="s">
        <v>1054</v>
      </c>
      <c r="VA1" s="209" t="s">
        <v>1055</v>
      </c>
      <c r="VB1" s="209" t="s">
        <v>1056</v>
      </c>
      <c r="VC1" s="209" t="s">
        <v>1057</v>
      </c>
      <c r="VD1" s="209" t="s">
        <v>1058</v>
      </c>
      <c r="VE1" s="209" t="s">
        <v>1059</v>
      </c>
      <c r="VF1" s="209" t="s">
        <v>1060</v>
      </c>
      <c r="VG1" s="209" t="s">
        <v>1061</v>
      </c>
      <c r="VH1" s="209" t="s">
        <v>1062</v>
      </c>
      <c r="VI1" s="209" t="s">
        <v>1063</v>
      </c>
      <c r="VJ1" s="210" t="s">
        <v>1149</v>
      </c>
      <c r="VK1" s="210" t="s">
        <v>1150</v>
      </c>
      <c r="VL1" s="210" t="s">
        <v>1151</v>
      </c>
      <c r="VM1" s="210" t="s">
        <v>1152</v>
      </c>
      <c r="VN1" s="210" t="s">
        <v>1064</v>
      </c>
      <c r="VO1" s="210" t="s">
        <v>1065</v>
      </c>
      <c r="VP1" s="210" t="s">
        <v>1066</v>
      </c>
      <c r="VQ1" s="210" t="s">
        <v>1067</v>
      </c>
      <c r="VR1" s="210" t="s">
        <v>1068</v>
      </c>
      <c r="VS1" s="210" t="s">
        <v>1069</v>
      </c>
      <c r="VT1" s="210" t="s">
        <v>1070</v>
      </c>
      <c r="VU1" s="210" t="s">
        <v>1071</v>
      </c>
      <c r="VV1" s="210" t="s">
        <v>1072</v>
      </c>
      <c r="VW1" s="210" t="s">
        <v>1073</v>
      </c>
      <c r="VX1" s="210" t="s">
        <v>1074</v>
      </c>
      <c r="VY1" s="210" t="s">
        <v>1075</v>
      </c>
      <c r="VZ1" s="210" t="s">
        <v>1076</v>
      </c>
      <c r="WA1" s="210" t="s">
        <v>1077</v>
      </c>
      <c r="WB1" s="210" t="s">
        <v>1078</v>
      </c>
      <c r="WC1" s="210" t="s">
        <v>1079</v>
      </c>
      <c r="WD1" s="210" t="s">
        <v>1080</v>
      </c>
      <c r="WE1" s="210" t="s">
        <v>1081</v>
      </c>
      <c r="WF1" s="210" t="s">
        <v>1082</v>
      </c>
      <c r="WG1" s="210" t="s">
        <v>1083</v>
      </c>
      <c r="WH1" s="210" t="s">
        <v>1084</v>
      </c>
    </row>
    <row r="2" spans="1:606" s="146" customFormat="1">
      <c r="A2" s="146" t="str">
        <f>TenderInfo!B4</f>
        <v>1743-01</v>
      </c>
      <c r="B2" s="146">
        <f>IF(TenderInfo!B5 = "","",TenderInfo!B5)</f>
        <v>0</v>
      </c>
      <c r="C2" s="146" t="str">
        <f>A2&amp;"-"&amp;B2</f>
        <v>1743-01-0</v>
      </c>
      <c r="D2" s="145">
        <f>DataForm!C11</f>
        <v>565050.89999999991</v>
      </c>
      <c r="E2" s="145">
        <f>DataForm!D11</f>
        <v>291308.83428571426</v>
      </c>
      <c r="F2" s="145">
        <f>DataForm!E11</f>
        <v>831312.11190143996</v>
      </c>
      <c r="G2" s="145">
        <f>DataForm!F11</f>
        <v>45623.131342948131</v>
      </c>
      <c r="H2" s="145">
        <f>DataForm!G11</f>
        <v>0</v>
      </c>
      <c r="I2" s="145">
        <f>DataForm!H11</f>
        <v>0</v>
      </c>
      <c r="J2" s="145">
        <f>DataForm!I11</f>
        <v>0</v>
      </c>
      <c r="K2" s="145">
        <f>DataForm!J11</f>
        <v>0</v>
      </c>
      <c r="L2" s="145">
        <f>DataForm!K11</f>
        <v>113678.047403328</v>
      </c>
      <c r="M2" s="145">
        <f>DataForm!N11</f>
        <v>457963.24864883116</v>
      </c>
      <c r="N2" s="145">
        <f>DataForm!M11</f>
        <v>209495.73292054053</v>
      </c>
      <c r="O2" s="145">
        <f>DataForm!O11</f>
        <v>2079666.6063809525</v>
      </c>
      <c r="P2" s="145">
        <f>DataForm!P11</f>
        <v>365946.08966216503</v>
      </c>
      <c r="Q2" s="212">
        <f>DataForm!R11</f>
        <v>0.03</v>
      </c>
      <c r="R2" s="212">
        <f>DataForm!S11</f>
        <v>0.08</v>
      </c>
      <c r="S2" s="212">
        <f>DataForm!T11</f>
        <v>0.1</v>
      </c>
      <c r="T2" s="145">
        <f>DataForm!V11</f>
        <v>0</v>
      </c>
      <c r="U2" s="145">
        <f>DataForm!W11</f>
        <v>0</v>
      </c>
      <c r="V2" s="145">
        <f>DataForm!C12</f>
        <v>348382.19999999995</v>
      </c>
      <c r="W2" s="145">
        <f>DataForm!D12</f>
        <v>265241.78285714285</v>
      </c>
      <c r="X2" s="145">
        <f>DataForm!E12</f>
        <v>529786.91290368</v>
      </c>
      <c r="Y2" s="145">
        <f>DataForm!F12</f>
        <v>30415.420895298757</v>
      </c>
      <c r="Z2" s="145">
        <f>DataForm!G12</f>
        <v>0</v>
      </c>
      <c r="AA2" s="145">
        <f>DataForm!H12</f>
        <v>0</v>
      </c>
      <c r="AB2" s="145">
        <f>DataForm!I12</f>
        <v>0</v>
      </c>
      <c r="AC2" s="145">
        <f>DataForm!J12</f>
        <v>0</v>
      </c>
      <c r="AD2" s="145">
        <f>DataForm!K12</f>
        <v>75785.364935552003</v>
      </c>
      <c r="AE2" s="145">
        <f>DataForm!N12</f>
        <v>261887.55243255413</v>
      </c>
      <c r="AF2" s="145">
        <f>DataForm!M12</f>
        <v>127907.02194702702</v>
      </c>
      <c r="AG2" s="145">
        <f>DataForm!O12</f>
        <v>332322.53758730163</v>
      </c>
      <c r="AH2" s="145">
        <f>DataForm!P12</f>
        <v>184053.7264414439</v>
      </c>
      <c r="AI2" s="212">
        <f>DataForm!R12</f>
        <v>0.03</v>
      </c>
      <c r="AJ2" s="212">
        <f>DataForm!S12</f>
        <v>0.08</v>
      </c>
      <c r="AK2" s="212">
        <f>DataForm!T12</f>
        <v>0.1</v>
      </c>
      <c r="AL2" s="145">
        <f>DataForm!V12</f>
        <v>0</v>
      </c>
      <c r="AM2" s="145">
        <f>DataForm!W12</f>
        <v>0</v>
      </c>
      <c r="AN2" s="145">
        <f>DataForm!C16</f>
        <v>0</v>
      </c>
      <c r="AO2" s="145">
        <f>DataForm!D16</f>
        <v>363816</v>
      </c>
      <c r="AP2" s="145">
        <f>DataForm!E16</f>
        <v>86695.250880000007</v>
      </c>
      <c r="AQ2" s="145">
        <f>DataForm!F16</f>
        <v>0</v>
      </c>
      <c r="AR2" s="145">
        <f>DataForm!G16</f>
        <v>0</v>
      </c>
      <c r="AS2" s="145">
        <f>DataForm!H16</f>
        <v>0</v>
      </c>
      <c r="AT2" s="145">
        <f>DataForm!I16</f>
        <v>0</v>
      </c>
      <c r="AU2" s="145">
        <f>DataForm!J16</f>
        <v>800</v>
      </c>
      <c r="AV2" s="145">
        <f>DataForm!K16</f>
        <v>398700</v>
      </c>
      <c r="AW2" s="145">
        <f>DataForm!N16</f>
        <v>0</v>
      </c>
      <c r="AX2" s="145">
        <f>DataForm!M16</f>
        <v>28168</v>
      </c>
      <c r="AY2" s="145">
        <f>DataForm!O16</f>
        <v>3337380</v>
      </c>
      <c r="AZ2" s="145">
        <f>DataForm!P16</f>
        <v>21000</v>
      </c>
      <c r="BA2" s="212">
        <f>DataForm!R16</f>
        <v>0.03</v>
      </c>
      <c r="BB2" s="212">
        <f>DataForm!S16</f>
        <v>0.08</v>
      </c>
      <c r="BC2" s="212">
        <f>DataForm!T16</f>
        <v>0.1</v>
      </c>
      <c r="BD2" s="145">
        <f>DataForm!V16</f>
        <v>0</v>
      </c>
      <c r="BE2" s="145">
        <f>DataForm!W16</f>
        <v>0</v>
      </c>
      <c r="BF2" s="145">
        <f>DataForm!C17</f>
        <v>42558.48</v>
      </c>
      <c r="BG2" s="145">
        <f>DataForm!D17</f>
        <v>0</v>
      </c>
      <c r="BH2" s="145">
        <f>DataForm!E17</f>
        <v>65.715569049600035</v>
      </c>
      <c r="BI2" s="145">
        <f>DataForm!F17</f>
        <v>0</v>
      </c>
      <c r="BJ2" s="145">
        <f>DataForm!G17</f>
        <v>0</v>
      </c>
      <c r="BK2" s="145">
        <f>DataForm!H17</f>
        <v>0</v>
      </c>
      <c r="BL2" s="145">
        <f>DataForm!I17</f>
        <v>0</v>
      </c>
      <c r="BM2" s="145">
        <f>DataForm!J17</f>
        <v>0</v>
      </c>
      <c r="BN2" s="145">
        <f>DataForm!K17</f>
        <v>25000</v>
      </c>
      <c r="BO2" s="145">
        <f>DataForm!N17</f>
        <v>212613.36</v>
      </c>
      <c r="BP2" s="145">
        <f>DataForm!M17</f>
        <v>14989.919999999998</v>
      </c>
      <c r="BQ2" s="145">
        <f>DataForm!O17</f>
        <v>2562.2399999999998</v>
      </c>
      <c r="BR2" s="145">
        <f>DataForm!P17</f>
        <v>100000</v>
      </c>
      <c r="BS2" s="212">
        <f>DataForm!R17</f>
        <v>0.03</v>
      </c>
      <c r="BT2" s="212">
        <f>DataForm!S17</f>
        <v>0.08</v>
      </c>
      <c r="BU2" s="212">
        <f>DataForm!T17</f>
        <v>0.1</v>
      </c>
      <c r="BV2" s="145">
        <f>DataForm!V17</f>
        <v>0</v>
      </c>
      <c r="BW2" s="145">
        <f>DataForm!W17</f>
        <v>0</v>
      </c>
      <c r="BX2" s="145">
        <f>DataForm!C18</f>
        <v>0</v>
      </c>
      <c r="BY2" s="145">
        <f>DataForm!D18</f>
        <v>0</v>
      </c>
      <c r="BZ2" s="145">
        <f>DataForm!E18</f>
        <v>0</v>
      </c>
      <c r="CA2" s="145">
        <f>DataForm!F18</f>
        <v>0</v>
      </c>
      <c r="CB2" s="145">
        <f>DataForm!G18</f>
        <v>0</v>
      </c>
      <c r="CC2" s="145">
        <f>DataForm!H18</f>
        <v>0</v>
      </c>
      <c r="CD2" s="145">
        <f>DataForm!I18</f>
        <v>0</v>
      </c>
      <c r="CE2" s="145">
        <f>DataForm!J18</f>
        <v>0</v>
      </c>
      <c r="CF2" s="145">
        <f>DataForm!K18</f>
        <v>0</v>
      </c>
      <c r="CG2" s="145">
        <f>DataForm!N18</f>
        <v>0</v>
      </c>
      <c r="CH2" s="145">
        <f>DataForm!M18</f>
        <v>0</v>
      </c>
      <c r="CI2" s="145">
        <f>DataForm!O18</f>
        <v>0</v>
      </c>
      <c r="CJ2" s="145">
        <f>DataForm!P18</f>
        <v>0</v>
      </c>
      <c r="CK2" s="212">
        <f>DataForm!R18</f>
        <v>0</v>
      </c>
      <c r="CL2" s="212">
        <f>DataForm!S18</f>
        <v>0</v>
      </c>
      <c r="CM2" s="212">
        <f>DataForm!T18</f>
        <v>0</v>
      </c>
      <c r="CN2" s="145">
        <f>DataForm!V18</f>
        <v>0</v>
      </c>
      <c r="CO2" s="145">
        <f>DataForm!W18</f>
        <v>0</v>
      </c>
      <c r="CP2" s="145">
        <f>DataForm!C20</f>
        <v>0</v>
      </c>
      <c r="CQ2" s="145">
        <f>DataForm!D20</f>
        <v>0</v>
      </c>
      <c r="CR2" s="145">
        <f>DataForm!E20</f>
        <v>0</v>
      </c>
      <c r="CS2" s="145">
        <f>DataForm!F20</f>
        <v>0</v>
      </c>
      <c r="CT2" s="145">
        <f>DataForm!G20</f>
        <v>0</v>
      </c>
      <c r="CU2" s="145">
        <f>DataForm!H20</f>
        <v>0</v>
      </c>
      <c r="CV2" s="145">
        <f>DataForm!I20</f>
        <v>0</v>
      </c>
      <c r="CW2" s="145">
        <f>DataForm!J20</f>
        <v>0</v>
      </c>
      <c r="CX2" s="145">
        <f>DataForm!K20</f>
        <v>0</v>
      </c>
      <c r="CY2" s="145">
        <f>DataForm!N20</f>
        <v>7109889.6510309493</v>
      </c>
      <c r="CZ2" s="145">
        <f>DataForm!M20</f>
        <v>382017.78092783538</v>
      </c>
      <c r="DA2" s="145">
        <f>DataForm!O20</f>
        <v>0</v>
      </c>
      <c r="DB2" s="145">
        <f>DataForm!P20</f>
        <v>0</v>
      </c>
      <c r="DC2" s="212">
        <f>DataForm!R20</f>
        <v>0.03</v>
      </c>
      <c r="DD2" s="212">
        <f>DataForm!S20</f>
        <v>0.08</v>
      </c>
      <c r="DE2" s="212">
        <f>DataForm!T20</f>
        <v>0.1</v>
      </c>
      <c r="DF2" s="145">
        <f>DataForm!V20</f>
        <v>0</v>
      </c>
      <c r="DG2" s="145">
        <f>DataForm!W20</f>
        <v>0</v>
      </c>
      <c r="DH2" s="145">
        <f>DataForm!C21</f>
        <v>0</v>
      </c>
      <c r="DI2" s="145">
        <f>DataForm!D21</f>
        <v>1587348</v>
      </c>
      <c r="DJ2" s="145">
        <f>DataForm!E21</f>
        <v>392394.23999999999</v>
      </c>
      <c r="DK2" s="145">
        <f>DataForm!F21</f>
        <v>0</v>
      </c>
      <c r="DL2" s="145">
        <f>DataForm!G21</f>
        <v>0</v>
      </c>
      <c r="DM2" s="145">
        <f>DataForm!H21</f>
        <v>0</v>
      </c>
      <c r="DN2" s="145">
        <f>DataForm!I21</f>
        <v>0</v>
      </c>
      <c r="DO2" s="145">
        <f>DataForm!J21</f>
        <v>0</v>
      </c>
      <c r="DP2" s="145">
        <f>DataForm!K21</f>
        <v>0</v>
      </c>
      <c r="DQ2" s="145">
        <f>DataForm!N21</f>
        <v>0</v>
      </c>
      <c r="DR2" s="145">
        <f>DataForm!M21</f>
        <v>0</v>
      </c>
      <c r="DS2" s="145">
        <f>DataForm!O21</f>
        <v>9000</v>
      </c>
      <c r="DT2" s="145">
        <f>DataForm!P21</f>
        <v>0</v>
      </c>
      <c r="DU2" s="212">
        <f>DataForm!R21</f>
        <v>0.03</v>
      </c>
      <c r="DV2" s="212">
        <f>DataForm!S21</f>
        <v>0.08</v>
      </c>
      <c r="DW2" s="212">
        <f>DataForm!T21</f>
        <v>0.1</v>
      </c>
      <c r="DX2" s="145">
        <f>DataForm!V21</f>
        <v>0</v>
      </c>
      <c r="DY2" s="145">
        <f>DataForm!W21</f>
        <v>0</v>
      </c>
      <c r="DZ2" s="145">
        <f>DataForm!C22</f>
        <v>0</v>
      </c>
      <c r="EA2" s="145">
        <f>DataForm!D22</f>
        <v>0</v>
      </c>
      <c r="EB2" s="145">
        <f>DataForm!E22</f>
        <v>0</v>
      </c>
      <c r="EC2" s="145">
        <f>DataForm!F22</f>
        <v>0</v>
      </c>
      <c r="ED2" s="145">
        <f>DataForm!G22</f>
        <v>0</v>
      </c>
      <c r="EE2" s="145">
        <f>DataForm!H22</f>
        <v>0</v>
      </c>
      <c r="EF2" s="145">
        <f>DataForm!I22</f>
        <v>0</v>
      </c>
      <c r="EG2" s="145">
        <f>DataForm!J22</f>
        <v>0</v>
      </c>
      <c r="EH2" s="145">
        <f>DataForm!K22</f>
        <v>0</v>
      </c>
      <c r="EI2" s="145">
        <f>DataForm!N22</f>
        <v>0</v>
      </c>
      <c r="EJ2" s="145">
        <f>DataForm!M22</f>
        <v>0</v>
      </c>
      <c r="EK2" s="145">
        <f>DataForm!O22</f>
        <v>640092</v>
      </c>
      <c r="EL2" s="145">
        <f>DataForm!P22</f>
        <v>0</v>
      </c>
      <c r="EM2" s="212">
        <f>DataForm!R22</f>
        <v>0.03</v>
      </c>
      <c r="EN2" s="212">
        <f>DataForm!S22</f>
        <v>0.08</v>
      </c>
      <c r="EO2" s="212">
        <f>DataForm!T22</f>
        <v>0.1</v>
      </c>
      <c r="EP2" s="145">
        <f>DataForm!V22</f>
        <v>0</v>
      </c>
      <c r="EQ2" s="145">
        <f>DataForm!W22</f>
        <v>0</v>
      </c>
      <c r="ER2" s="145">
        <f>DataForm!C23</f>
        <v>0</v>
      </c>
      <c r="ES2" s="145">
        <f>DataForm!D23</f>
        <v>0</v>
      </c>
      <c r="ET2" s="145">
        <f>DataForm!E23</f>
        <v>0</v>
      </c>
      <c r="EU2" s="145">
        <f>DataForm!F23</f>
        <v>0</v>
      </c>
      <c r="EV2" s="145">
        <f>DataForm!G23</f>
        <v>0</v>
      </c>
      <c r="EW2" s="145">
        <f>DataForm!H23</f>
        <v>0</v>
      </c>
      <c r="EX2" s="145">
        <f>DataForm!I23</f>
        <v>0</v>
      </c>
      <c r="EY2" s="145">
        <f>DataForm!J23</f>
        <v>0</v>
      </c>
      <c r="EZ2" s="145">
        <f>DataForm!K23</f>
        <v>710850</v>
      </c>
      <c r="FA2" s="145">
        <f>DataForm!N23</f>
        <v>0</v>
      </c>
      <c r="FB2" s="145">
        <f>DataForm!M23</f>
        <v>0</v>
      </c>
      <c r="FC2" s="145">
        <f>DataForm!O23</f>
        <v>0</v>
      </c>
      <c r="FD2" s="145">
        <f>DataForm!P23</f>
        <v>278517</v>
      </c>
      <c r="FE2" s="212">
        <f>DataForm!R23</f>
        <v>0.03</v>
      </c>
      <c r="FF2" s="212">
        <f>DataForm!S23</f>
        <v>0.08</v>
      </c>
      <c r="FG2" s="212">
        <f>DataForm!T23</f>
        <v>0.1</v>
      </c>
      <c r="FH2" s="145">
        <f>DataForm!V23</f>
        <v>0</v>
      </c>
      <c r="FI2" s="145">
        <f>DataForm!W23</f>
        <v>0</v>
      </c>
      <c r="FJ2" s="145">
        <f>DataForm!C26</f>
        <v>7356327.4814824397</v>
      </c>
      <c r="FK2" s="145">
        <f>DataForm!D26</f>
        <v>0</v>
      </c>
      <c r="FL2" s="145">
        <f>DataForm!E26</f>
        <v>5158218.2635340663</v>
      </c>
      <c r="FM2" s="145">
        <f>DataForm!F26</f>
        <v>0</v>
      </c>
      <c r="FN2" s="145">
        <f>DataForm!G26</f>
        <v>124966.10060901164</v>
      </c>
      <c r="FO2" s="145">
        <f>DataForm!H26</f>
        <v>0</v>
      </c>
      <c r="FP2" s="145">
        <f>DataForm!I26</f>
        <v>0</v>
      </c>
      <c r="FQ2" s="145">
        <f>DataForm!J26</f>
        <v>0</v>
      </c>
      <c r="FR2" s="145">
        <f>DataForm!K26</f>
        <v>1032569.3908154666</v>
      </c>
      <c r="FS2" s="145">
        <f>DataForm!N26</f>
        <v>3167992.697922885</v>
      </c>
      <c r="FT2" s="145">
        <f>DataForm!M26</f>
        <v>1594757.369408601</v>
      </c>
      <c r="FU2" s="145">
        <f>DataForm!O26</f>
        <v>18119180.904540256</v>
      </c>
      <c r="FV2" s="145">
        <f>DataForm!P26</f>
        <v>0</v>
      </c>
      <c r="FW2" s="212">
        <f>DataForm!R26</f>
        <v>0</v>
      </c>
      <c r="FX2" s="212">
        <f>DataForm!S26</f>
        <v>0</v>
      </c>
      <c r="FY2" s="212">
        <f>DataForm!T26</f>
        <v>0</v>
      </c>
      <c r="FZ2" s="145">
        <f>DataForm!V26</f>
        <v>0</v>
      </c>
      <c r="GA2" s="145">
        <f>DataForm!W26</f>
        <v>0</v>
      </c>
      <c r="GB2" s="145">
        <f>DataForm!C27</f>
        <v>0</v>
      </c>
      <c r="GC2" s="145">
        <f>DataForm!D27</f>
        <v>4195698.5085007697</v>
      </c>
      <c r="GD2" s="145">
        <f>DataForm!E27</f>
        <v>1784404.5204406467</v>
      </c>
      <c r="GE2" s="145">
        <f>DataForm!F27</f>
        <v>1169229.0315203902</v>
      </c>
      <c r="GF2" s="145">
        <f>DataForm!G27</f>
        <v>0</v>
      </c>
      <c r="GG2" s="145">
        <f>DataForm!H27</f>
        <v>0</v>
      </c>
      <c r="GH2" s="145">
        <f>DataForm!I27</f>
        <v>0</v>
      </c>
      <c r="GI2" s="145">
        <f>DataForm!J27</f>
        <v>0</v>
      </c>
      <c r="GJ2" s="145">
        <f>DataForm!K27</f>
        <v>3062771.8074665209</v>
      </c>
      <c r="GK2" s="145">
        <f>DataForm!N27</f>
        <v>285192.73342913797</v>
      </c>
      <c r="GL2" s="145">
        <f>DataForm!M27</f>
        <v>505625.8820997469</v>
      </c>
      <c r="GM2" s="145">
        <f>DataForm!O27</f>
        <v>594879.55999999994</v>
      </c>
      <c r="GN2" s="145">
        <f>DataForm!P27</f>
        <v>0</v>
      </c>
      <c r="GO2" s="212">
        <f>DataForm!R27</f>
        <v>0.03</v>
      </c>
      <c r="GP2" s="212">
        <f>DataForm!S27</f>
        <v>0.08</v>
      </c>
      <c r="GQ2" s="212">
        <f>DataForm!T27</f>
        <v>0.1</v>
      </c>
      <c r="GR2" s="145">
        <f>DataForm!V27</f>
        <v>0</v>
      </c>
      <c r="GS2" s="145">
        <f>DataForm!W27</f>
        <v>0</v>
      </c>
      <c r="GT2" s="145">
        <f>DataForm!C28</f>
        <v>0</v>
      </c>
      <c r="GU2" s="145">
        <f>DataForm!D28</f>
        <v>0</v>
      </c>
      <c r="GV2" s="145">
        <f>DataForm!E28</f>
        <v>0</v>
      </c>
      <c r="GW2" s="145">
        <f>DataForm!F28</f>
        <v>0</v>
      </c>
      <c r="GX2" s="145">
        <f>DataForm!G28</f>
        <v>0</v>
      </c>
      <c r="GY2" s="145">
        <f>DataForm!H28</f>
        <v>0</v>
      </c>
      <c r="GZ2" s="145">
        <f>DataForm!I28</f>
        <v>0</v>
      </c>
      <c r="HA2" s="145">
        <f>DataForm!J28</f>
        <v>0</v>
      </c>
      <c r="HB2" s="145">
        <f>DataForm!K28</f>
        <v>0</v>
      </c>
      <c r="HC2" s="145">
        <f>DataForm!N28</f>
        <v>0</v>
      </c>
      <c r="HD2" s="145">
        <f>DataForm!M28</f>
        <v>0</v>
      </c>
      <c r="HE2" s="145">
        <f>DataForm!O28</f>
        <v>0</v>
      </c>
      <c r="HF2" s="145">
        <f>DataForm!P28</f>
        <v>0</v>
      </c>
      <c r="HG2" s="212">
        <f>DataForm!R28</f>
        <v>0</v>
      </c>
      <c r="HH2" s="212">
        <f>DataForm!S28</f>
        <v>0</v>
      </c>
      <c r="HI2" s="212">
        <f>DataForm!T28</f>
        <v>0</v>
      </c>
      <c r="HJ2" s="145">
        <f>DataForm!V28</f>
        <v>0</v>
      </c>
      <c r="HK2" s="145">
        <f>DataForm!W28</f>
        <v>0</v>
      </c>
      <c r="HL2" s="145">
        <f>DataForm!C29</f>
        <v>0</v>
      </c>
      <c r="HM2" s="145">
        <f>DataForm!D29</f>
        <v>0</v>
      </c>
      <c r="HN2" s="145">
        <f>DataForm!E29</f>
        <v>0</v>
      </c>
      <c r="HO2" s="145">
        <f>DataForm!F29</f>
        <v>0</v>
      </c>
      <c r="HP2" s="145">
        <f>DataForm!G29</f>
        <v>0</v>
      </c>
      <c r="HQ2" s="145">
        <f>DataForm!H29</f>
        <v>0</v>
      </c>
      <c r="HR2" s="145">
        <f>DataForm!I29</f>
        <v>0</v>
      </c>
      <c r="HS2" s="145">
        <f>DataForm!J29</f>
        <v>0</v>
      </c>
      <c r="HT2" s="145">
        <f>DataForm!K29</f>
        <v>0</v>
      </c>
      <c r="HU2" s="145">
        <f>DataForm!N29</f>
        <v>0</v>
      </c>
      <c r="HV2" s="145">
        <f>DataForm!M29</f>
        <v>0</v>
      </c>
      <c r="HW2" s="145">
        <f>DataForm!O29</f>
        <v>0</v>
      </c>
      <c r="HX2" s="145">
        <f>DataForm!P29</f>
        <v>0</v>
      </c>
      <c r="HY2" s="212">
        <f>DataForm!R29</f>
        <v>0</v>
      </c>
      <c r="HZ2" s="212">
        <f>DataForm!S29</f>
        <v>0</v>
      </c>
      <c r="IA2" s="212">
        <f>DataForm!T29</f>
        <v>0</v>
      </c>
      <c r="IB2" s="145">
        <f>DataForm!V29</f>
        <v>0</v>
      </c>
      <c r="IC2" s="145">
        <f>DataForm!W29</f>
        <v>0</v>
      </c>
      <c r="ID2" s="145">
        <f>DataForm!C30</f>
        <v>0</v>
      </c>
      <c r="IE2" s="145">
        <f>DataForm!D30</f>
        <v>3689010.4644079562</v>
      </c>
      <c r="IF2" s="145">
        <f>DataForm!E30</f>
        <v>1528666.9154174761</v>
      </c>
      <c r="IG2" s="145">
        <f>DataForm!F30</f>
        <v>0</v>
      </c>
      <c r="IH2" s="145">
        <f>DataForm!G30</f>
        <v>0</v>
      </c>
      <c r="II2" s="145">
        <f>DataForm!H30</f>
        <v>0</v>
      </c>
      <c r="IJ2" s="145">
        <f>DataForm!I30</f>
        <v>11517887.94980609</v>
      </c>
      <c r="IK2" s="145">
        <f>DataForm!J30</f>
        <v>0</v>
      </c>
      <c r="IL2" s="145">
        <f>DataForm!K30</f>
        <v>745441.98225250002</v>
      </c>
      <c r="IM2" s="145">
        <f>DataForm!N30</f>
        <v>0</v>
      </c>
      <c r="IN2" s="145">
        <f>DataForm!M30</f>
        <v>862906.82364192989</v>
      </c>
      <c r="IO2" s="145">
        <f>DataForm!O30</f>
        <v>524164.75</v>
      </c>
      <c r="IP2" s="145">
        <f>DataForm!P30</f>
        <v>90340.929870759093</v>
      </c>
      <c r="IQ2" s="212">
        <f>DataForm!R30</f>
        <v>0.03</v>
      </c>
      <c r="IR2" s="212">
        <f>DataForm!S30</f>
        <v>0.08</v>
      </c>
      <c r="IS2" s="212">
        <f>DataForm!T30</f>
        <v>0.1</v>
      </c>
      <c r="IT2" s="145">
        <f>DataForm!V30</f>
        <v>0</v>
      </c>
      <c r="IU2" s="145">
        <f>DataForm!W30</f>
        <v>0</v>
      </c>
      <c r="IV2" s="145">
        <f>DataForm!C31</f>
        <v>0</v>
      </c>
      <c r="IW2" s="145">
        <f>DataForm!D31</f>
        <v>0</v>
      </c>
      <c r="IX2" s="145">
        <f>DataForm!E31</f>
        <v>0</v>
      </c>
      <c r="IY2" s="145">
        <f>DataForm!F31</f>
        <v>0</v>
      </c>
      <c r="IZ2" s="145">
        <f>DataForm!G31</f>
        <v>0</v>
      </c>
      <c r="JA2" s="145">
        <f>DataForm!H31</f>
        <v>0</v>
      </c>
      <c r="JB2" s="145">
        <f>DataForm!I31</f>
        <v>0</v>
      </c>
      <c r="JC2" s="145">
        <f>DataForm!J31</f>
        <v>0</v>
      </c>
      <c r="JD2" s="145">
        <f>DataForm!K31</f>
        <v>0</v>
      </c>
      <c r="JE2" s="145">
        <f>DataForm!N31</f>
        <v>0</v>
      </c>
      <c r="JF2" s="145">
        <f>DataForm!M31</f>
        <v>0</v>
      </c>
      <c r="JG2" s="145">
        <f>DataForm!O31</f>
        <v>0</v>
      </c>
      <c r="JH2" s="145">
        <f>DataForm!P31</f>
        <v>0</v>
      </c>
      <c r="JI2" s="212">
        <f>DataForm!R31</f>
        <v>0</v>
      </c>
      <c r="JJ2" s="212">
        <f>DataForm!S31</f>
        <v>0</v>
      </c>
      <c r="JK2" s="212">
        <f>DataForm!T31</f>
        <v>0</v>
      </c>
      <c r="JL2" s="145">
        <f>DataForm!V31</f>
        <v>0</v>
      </c>
      <c r="JM2" s="145">
        <f>DataForm!W31</f>
        <v>0</v>
      </c>
      <c r="JN2" s="145">
        <f>DataForm!C32</f>
        <v>0</v>
      </c>
      <c r="JO2" s="145">
        <f>DataForm!D32</f>
        <v>539137.32420854107</v>
      </c>
      <c r="JP2" s="145">
        <f>DataForm!E32</f>
        <v>182602.23740914153</v>
      </c>
      <c r="JQ2" s="145">
        <f>DataForm!F32</f>
        <v>0</v>
      </c>
      <c r="JR2" s="145">
        <f>DataForm!G32</f>
        <v>0</v>
      </c>
      <c r="JS2" s="145">
        <f>DataForm!H32</f>
        <v>594704.97523219814</v>
      </c>
      <c r="JT2" s="145">
        <f>DataForm!I32</f>
        <v>0</v>
      </c>
      <c r="JU2" s="145">
        <f>DataForm!J32</f>
        <v>2292676.3403467494</v>
      </c>
      <c r="JV2" s="145">
        <f>DataForm!K32</f>
        <v>458210.95143085701</v>
      </c>
      <c r="JW2" s="145">
        <f>DataForm!N32</f>
        <v>0</v>
      </c>
      <c r="JX2" s="145">
        <f>DataForm!M32</f>
        <v>861038.33524199575</v>
      </c>
      <c r="JY2" s="145">
        <f>DataForm!O32</f>
        <v>0</v>
      </c>
      <c r="JZ2" s="145">
        <f>DataForm!P32</f>
        <v>12727.864</v>
      </c>
      <c r="KA2" s="212">
        <f>DataForm!R32</f>
        <v>0.03</v>
      </c>
      <c r="KB2" s="212">
        <f>DataForm!S32</f>
        <v>0.08</v>
      </c>
      <c r="KC2" s="212">
        <f>DataForm!T32</f>
        <v>0.1</v>
      </c>
      <c r="KD2" s="145">
        <f>DataForm!V32</f>
        <v>0</v>
      </c>
      <c r="KE2" s="145">
        <f>DataForm!W32</f>
        <v>0</v>
      </c>
      <c r="KF2" s="145">
        <f>DataForm!C33</f>
        <v>0</v>
      </c>
      <c r="KG2" s="145">
        <f>DataForm!D33</f>
        <v>1201058.0746666698</v>
      </c>
      <c r="KH2" s="145">
        <f>DataForm!E33</f>
        <v>132857.88982719986</v>
      </c>
      <c r="KI2" s="145">
        <f>DataForm!F33</f>
        <v>0</v>
      </c>
      <c r="KJ2" s="145">
        <f>DataForm!G33</f>
        <v>0</v>
      </c>
      <c r="KK2" s="145">
        <f>DataForm!H33</f>
        <v>0</v>
      </c>
      <c r="KL2" s="145">
        <f>DataForm!I33</f>
        <v>0</v>
      </c>
      <c r="KM2" s="145">
        <f>DataForm!J33</f>
        <v>0</v>
      </c>
      <c r="KN2" s="145">
        <f>DataForm!K33</f>
        <v>0</v>
      </c>
      <c r="KO2" s="145">
        <f>DataForm!N33</f>
        <v>0</v>
      </c>
      <c r="KP2" s="145">
        <f>DataForm!M33</f>
        <v>285211.68</v>
      </c>
      <c r="KQ2" s="145">
        <f>DataForm!O33</f>
        <v>0</v>
      </c>
      <c r="KR2" s="145">
        <f>DataForm!P33</f>
        <v>3840024.65</v>
      </c>
      <c r="KS2" s="212">
        <f>DataForm!R33</f>
        <v>0.03</v>
      </c>
      <c r="KT2" s="212">
        <f>DataForm!S33</f>
        <v>0.08</v>
      </c>
      <c r="KU2" s="212">
        <f>DataForm!T33</f>
        <v>0.1</v>
      </c>
      <c r="KV2" s="145">
        <f>DataForm!V33</f>
        <v>0</v>
      </c>
      <c r="KW2" s="145">
        <f>DataForm!W33</f>
        <v>0</v>
      </c>
      <c r="KX2" s="145">
        <f>DataForm!C34</f>
        <v>0</v>
      </c>
      <c r="KY2" s="145">
        <f>DataForm!D34</f>
        <v>0</v>
      </c>
      <c r="KZ2" s="145">
        <f>DataForm!E34</f>
        <v>0</v>
      </c>
      <c r="LA2" s="145">
        <f>DataForm!F34</f>
        <v>0</v>
      </c>
      <c r="LB2" s="145">
        <f>DataForm!G34</f>
        <v>0</v>
      </c>
      <c r="LC2" s="145">
        <f>DataForm!H34</f>
        <v>0</v>
      </c>
      <c r="LD2" s="145">
        <f>DataForm!I34</f>
        <v>0</v>
      </c>
      <c r="LE2" s="145">
        <f>DataForm!J34</f>
        <v>0</v>
      </c>
      <c r="LF2" s="145">
        <f>DataForm!K34</f>
        <v>0</v>
      </c>
      <c r="LG2" s="145">
        <f>DataForm!N34</f>
        <v>0</v>
      </c>
      <c r="LH2" s="145">
        <f>DataForm!M34</f>
        <v>0</v>
      </c>
      <c r="LI2" s="145">
        <f>DataForm!O34</f>
        <v>0</v>
      </c>
      <c r="LJ2" s="145">
        <f>DataForm!P34</f>
        <v>0</v>
      </c>
      <c r="LK2" s="212">
        <f>DataForm!R34</f>
        <v>0</v>
      </c>
      <c r="LL2" s="212">
        <f>DataForm!S34</f>
        <v>0</v>
      </c>
      <c r="LM2" s="212">
        <f>DataForm!T34</f>
        <v>0</v>
      </c>
      <c r="LN2" s="145">
        <f>DataForm!V34</f>
        <v>0</v>
      </c>
      <c r="LO2" s="145">
        <f>DataForm!W34</f>
        <v>0</v>
      </c>
      <c r="LP2" s="145">
        <f>DataForm!C37</f>
        <v>0</v>
      </c>
      <c r="LQ2" s="145">
        <f>DataForm!D37</f>
        <v>0</v>
      </c>
      <c r="LR2" s="145">
        <f>DataForm!E37</f>
        <v>0</v>
      </c>
      <c r="LS2" s="145">
        <f>DataForm!F37</f>
        <v>0</v>
      </c>
      <c r="LT2" s="145">
        <f>DataForm!G37</f>
        <v>0</v>
      </c>
      <c r="LU2" s="145">
        <f>DataForm!H37</f>
        <v>0</v>
      </c>
      <c r="LV2" s="145">
        <f>DataForm!I37</f>
        <v>0</v>
      </c>
      <c r="LW2" s="145">
        <f>DataForm!J37</f>
        <v>0</v>
      </c>
      <c r="LX2" s="145">
        <f>DataForm!K37</f>
        <v>0</v>
      </c>
      <c r="LY2" s="145">
        <f>DataForm!N37</f>
        <v>0</v>
      </c>
      <c r="LZ2" s="145">
        <f>DataForm!M37</f>
        <v>0</v>
      </c>
      <c r="MA2" s="145">
        <f>DataForm!O37</f>
        <v>0</v>
      </c>
      <c r="MB2" s="145">
        <f>DataForm!P37</f>
        <v>0</v>
      </c>
      <c r="MC2" s="212">
        <f>DataForm!R37</f>
        <v>0</v>
      </c>
      <c r="MD2" s="212">
        <f>DataForm!S37</f>
        <v>0</v>
      </c>
      <c r="ME2" s="212">
        <f>DataForm!T37</f>
        <v>0</v>
      </c>
      <c r="MF2" s="145">
        <f>DataForm!V37</f>
        <v>0</v>
      </c>
      <c r="MG2" s="145">
        <f>DataForm!W37</f>
        <v>0</v>
      </c>
      <c r="MH2" s="145">
        <f>DataForm!C38</f>
        <v>0</v>
      </c>
      <c r="MI2" s="145">
        <f>DataForm!D38</f>
        <v>18499.78</v>
      </c>
      <c r="MJ2" s="145">
        <f>DataForm!E38</f>
        <v>5592.7030799999993</v>
      </c>
      <c r="MK2" s="145">
        <f>DataForm!F38</f>
        <v>0</v>
      </c>
      <c r="ML2" s="145">
        <f>DataForm!G38</f>
        <v>0</v>
      </c>
      <c r="MM2" s="145">
        <f>DataForm!H38</f>
        <v>0</v>
      </c>
      <c r="MN2" s="145">
        <f>DataForm!I38</f>
        <v>0</v>
      </c>
      <c r="MO2" s="145">
        <f>DataForm!J38</f>
        <v>0</v>
      </c>
      <c r="MP2" s="145">
        <f>DataForm!K38</f>
        <v>0</v>
      </c>
      <c r="MQ2" s="145">
        <f>DataForm!N38</f>
        <v>0</v>
      </c>
      <c r="MR2" s="145">
        <f>DataForm!M38</f>
        <v>68202.5</v>
      </c>
      <c r="MS2" s="145">
        <f>DataForm!O38</f>
        <v>0</v>
      </c>
      <c r="MT2" s="145">
        <f>DataForm!P38</f>
        <v>0</v>
      </c>
      <c r="MU2" s="212">
        <f>DataForm!R38</f>
        <v>0.03</v>
      </c>
      <c r="MV2" s="212">
        <f>DataForm!S38</f>
        <v>0.08</v>
      </c>
      <c r="MW2" s="212">
        <f>DataForm!T38</f>
        <v>0.18429999999999999</v>
      </c>
      <c r="MX2" s="145">
        <f>DataForm!V38</f>
        <v>0</v>
      </c>
      <c r="MY2" s="145">
        <f>DataForm!W38</f>
        <v>0</v>
      </c>
      <c r="MZ2" s="145">
        <f>DataForm!C40</f>
        <v>0</v>
      </c>
      <c r="NA2" s="145">
        <f>DataForm!D40</f>
        <v>0</v>
      </c>
      <c r="NB2" s="145">
        <f>DataForm!E40</f>
        <v>0</v>
      </c>
      <c r="NC2" s="145">
        <f>DataForm!F40</f>
        <v>0</v>
      </c>
      <c r="ND2" s="145">
        <f>DataForm!G40</f>
        <v>0</v>
      </c>
      <c r="NE2" s="145">
        <f>DataForm!H40</f>
        <v>0</v>
      </c>
      <c r="NF2" s="145">
        <f>DataForm!I40</f>
        <v>0</v>
      </c>
      <c r="NG2" s="145">
        <f>DataForm!J40</f>
        <v>0</v>
      </c>
      <c r="NH2" s="145">
        <f>DataForm!K40</f>
        <v>0</v>
      </c>
      <c r="NI2" s="145">
        <f>DataForm!N40</f>
        <v>0</v>
      </c>
      <c r="NJ2" s="145">
        <f>DataForm!M40</f>
        <v>0</v>
      </c>
      <c r="NK2" s="145">
        <f>DataForm!O40</f>
        <v>0</v>
      </c>
      <c r="NL2" s="145">
        <f>DataForm!P40</f>
        <v>0</v>
      </c>
      <c r="NM2" s="212">
        <f>DataForm!R40</f>
        <v>0</v>
      </c>
      <c r="NN2" s="212">
        <f>DataForm!S40</f>
        <v>0</v>
      </c>
      <c r="NO2" s="212">
        <f>DataForm!T40</f>
        <v>0</v>
      </c>
      <c r="NP2" s="145">
        <f>DataForm!V40</f>
        <v>0</v>
      </c>
      <c r="NQ2" s="145">
        <f>DataForm!W40</f>
        <v>0</v>
      </c>
      <c r="NR2" s="214">
        <f>Equipment_Total!C6</f>
        <v>2354062.1686905092</v>
      </c>
      <c r="NS2" s="214">
        <f>Equipment_Total!C7</f>
        <v>0</v>
      </c>
      <c r="NT2" s="214">
        <f>Equipment_Total!C8</f>
        <v>0</v>
      </c>
      <c r="NU2" s="214">
        <f>Equipment_Total!C9</f>
        <v>0</v>
      </c>
      <c r="NV2" s="214">
        <f>Equipment_Total!C10</f>
        <v>0</v>
      </c>
      <c r="NW2" s="214">
        <f>Equipment_Total!C11</f>
        <v>275140.43620848644</v>
      </c>
      <c r="NX2" s="214">
        <f>Equipment_Total!C12</f>
        <v>857500.99311843014</v>
      </c>
      <c r="NY2" s="214">
        <f>Equipment_Total!C13</f>
        <v>310302.35690588946</v>
      </c>
      <c r="NZ2" s="214">
        <f>Equipment_Total!C14</f>
        <v>0</v>
      </c>
      <c r="OA2" s="214">
        <f>Equipment_Total!C15</f>
        <v>0</v>
      </c>
      <c r="OB2" s="214">
        <f>Equipment_Total!C16</f>
        <v>0</v>
      </c>
      <c r="OC2" s="214">
        <f>Equipment_Total!C19</f>
        <v>2</v>
      </c>
      <c r="OD2" s="214">
        <f>Equipment_Total!C20</f>
        <v>0</v>
      </c>
      <c r="OE2" s="214">
        <f>Equipment_Total!C21</f>
        <v>2</v>
      </c>
      <c r="OF2" s="214">
        <f>Equipment_Total!C22</f>
        <v>3</v>
      </c>
      <c r="OG2" s="214">
        <f>Equipment_Total!C23</f>
        <v>1</v>
      </c>
      <c r="OH2" s="214">
        <f>Equipment_Total!C24</f>
        <v>0</v>
      </c>
      <c r="OI2" s="214">
        <f>Equipment_Total!C25</f>
        <v>0</v>
      </c>
      <c r="OJ2" s="214">
        <f>Equipment_Total!C26</f>
        <v>0</v>
      </c>
      <c r="OK2" s="214">
        <f>Equipment_Total!C27</f>
        <v>0</v>
      </c>
      <c r="OL2" s="214">
        <f>Equipment_Total!C28</f>
        <v>0</v>
      </c>
      <c r="OM2" s="214">
        <f>Equipment_Total!C29</f>
        <v>0</v>
      </c>
      <c r="ON2" s="214">
        <f>Equipment_Total!C33</f>
        <v>21914.400000000001</v>
      </c>
      <c r="OO2" s="214">
        <f>Equipment_Total!C34</f>
        <v>0</v>
      </c>
      <c r="OP2" s="214">
        <f>Equipment_Total!C32</f>
        <v>0</v>
      </c>
      <c r="OQ2" s="214">
        <f>Equipment_Total!D6</f>
        <v>334492.84920399997</v>
      </c>
      <c r="OR2" s="214">
        <f>Equipment_Total!D7</f>
        <v>0</v>
      </c>
      <c r="OS2" s="214">
        <f>Equipment_Total!D8</f>
        <v>0</v>
      </c>
      <c r="OT2" s="214">
        <f>Equipment_Total!D9</f>
        <v>0</v>
      </c>
      <c r="OU2" s="214">
        <f>Equipment_Total!D10</f>
        <v>0</v>
      </c>
      <c r="OV2" s="214">
        <f>Equipment_Total!D11</f>
        <v>62673.88515681868</v>
      </c>
      <c r="OW2" s="214">
        <f>Equipment_Total!D12</f>
        <v>66521.18703974958</v>
      </c>
      <c r="OX2" s="214">
        <f>Equipment_Total!D13</f>
        <v>117823.73602166832</v>
      </c>
      <c r="OY2" s="214">
        <f>Equipment_Total!D14</f>
        <v>0</v>
      </c>
      <c r="OZ2" s="214">
        <f>Equipment_Total!D15</f>
        <v>0</v>
      </c>
      <c r="PA2" s="214">
        <f>Equipment_Total!D16</f>
        <v>0</v>
      </c>
      <c r="PB2" s="214">
        <f>Equipment_Total!D19</f>
        <v>0</v>
      </c>
      <c r="PC2" s="214">
        <f>Equipment_Total!D20</f>
        <v>0</v>
      </c>
      <c r="PD2" s="214">
        <f>Equipment_Total!D21</f>
        <v>0</v>
      </c>
      <c r="PE2" s="214">
        <f>Equipment_Total!D22</f>
        <v>0</v>
      </c>
      <c r="PF2" s="214">
        <f>Equipment_Total!D23</f>
        <v>0</v>
      </c>
      <c r="PG2" s="214">
        <f>Equipment_Total!D24</f>
        <v>0</v>
      </c>
      <c r="PH2" s="214">
        <f>Equipment_Total!D25</f>
        <v>0</v>
      </c>
      <c r="PI2" s="214">
        <f>Equipment_Total!D26</f>
        <v>0</v>
      </c>
      <c r="PJ2" s="214">
        <f>Equipment_Total!D27</f>
        <v>0</v>
      </c>
      <c r="PK2" s="214">
        <f>Equipment_Total!D28</f>
        <v>0</v>
      </c>
      <c r="PL2" s="214">
        <f>Equipment_Total!D29</f>
        <v>0</v>
      </c>
      <c r="PM2" s="214">
        <f>Equipment_Total!D33</f>
        <v>4557.6000000000004</v>
      </c>
      <c r="PN2" s="214">
        <f>Equipment_Total!D34</f>
        <v>0</v>
      </c>
      <c r="PO2" s="214">
        <f>Equipment_Total!D32</f>
        <v>0</v>
      </c>
      <c r="PP2" s="214">
        <f>Equipment_Total!E6</f>
        <v>2815545.0380666233</v>
      </c>
      <c r="PQ2" s="214">
        <f>Equipment_Total!E7</f>
        <v>0</v>
      </c>
      <c r="PR2" s="214">
        <f>Equipment_Total!E8</f>
        <v>0</v>
      </c>
      <c r="PS2" s="214">
        <f>Equipment_Total!E9</f>
        <v>0</v>
      </c>
      <c r="PT2" s="214">
        <f>Equipment_Total!E10</f>
        <v>0</v>
      </c>
      <c r="PU2" s="214">
        <f>Equipment_Total!E11</f>
        <v>117267.17505756956</v>
      </c>
      <c r="PV2" s="214">
        <f>Equipment_Total!E12</f>
        <v>282038.91510362522</v>
      </c>
      <c r="PW2" s="214">
        <f>Equipment_Total!E13</f>
        <v>242148.60571674383</v>
      </c>
      <c r="PX2" s="214">
        <f>Equipment_Total!E14</f>
        <v>0</v>
      </c>
      <c r="PY2" s="214">
        <f>Equipment_Total!E15</f>
        <v>0</v>
      </c>
      <c r="PZ2" s="214">
        <f>Equipment_Total!E16</f>
        <v>0</v>
      </c>
      <c r="QA2" s="214">
        <f>Equipment_Total!E19</f>
        <v>0</v>
      </c>
      <c r="QB2" s="214">
        <f>Equipment_Total!E20</f>
        <v>0</v>
      </c>
      <c r="QC2" s="214">
        <f>Equipment_Total!E21</f>
        <v>0</v>
      </c>
      <c r="QD2" s="214">
        <f>Equipment_Total!E22</f>
        <v>0</v>
      </c>
      <c r="QE2" s="214">
        <f>Equipment_Total!E23</f>
        <v>0</v>
      </c>
      <c r="QF2" s="214">
        <f>Equipment_Total!E24</f>
        <v>0</v>
      </c>
      <c r="QG2" s="214">
        <f>Equipment_Total!E25</f>
        <v>0</v>
      </c>
      <c r="QH2" s="214">
        <f>Equipment_Total!E26</f>
        <v>0</v>
      </c>
      <c r="QI2" s="214">
        <f>Equipment_Total!E27</f>
        <v>0</v>
      </c>
      <c r="QJ2" s="214">
        <f>Equipment_Total!E28</f>
        <v>0</v>
      </c>
      <c r="QK2" s="214">
        <f>Equipment_Total!E29</f>
        <v>0</v>
      </c>
      <c r="QL2" s="214">
        <f>Equipment_Total!E33</f>
        <v>11904</v>
      </c>
      <c r="QM2" s="214">
        <f>Equipment_Total!E34</f>
        <v>0</v>
      </c>
      <c r="QN2" s="214">
        <f>Equipment_Total!E32</f>
        <v>0</v>
      </c>
      <c r="QO2" s="214">
        <f>Equipment_Total!F6</f>
        <v>222026.51415931605</v>
      </c>
      <c r="QP2" s="214">
        <f>Equipment_Total!F7</f>
        <v>0</v>
      </c>
      <c r="QQ2" s="214">
        <f>Equipment_Total!F8</f>
        <v>0</v>
      </c>
      <c r="QR2" s="214">
        <f>Equipment_Total!F9</f>
        <v>0</v>
      </c>
      <c r="QS2" s="214">
        <f>Equipment_Total!F10</f>
        <v>0</v>
      </c>
      <c r="QT2" s="214">
        <f>Equipment_Total!F11</f>
        <v>73772.659386240295</v>
      </c>
      <c r="QU2" s="214">
        <f>Equipment_Total!F12</f>
        <v>211804.95380169395</v>
      </c>
      <c r="QV2" s="214">
        <f>Equipment_Total!F13</f>
        <v>58538.894730678323</v>
      </c>
      <c r="QW2" s="214">
        <f>Equipment_Total!F14</f>
        <v>0</v>
      </c>
      <c r="QX2" s="214">
        <f>Equipment_Total!F15</f>
        <v>0</v>
      </c>
      <c r="QY2" s="214">
        <f>Equipment_Total!F16</f>
        <v>0</v>
      </c>
      <c r="QZ2" s="214">
        <f>Equipment_Total!F19</f>
        <v>0</v>
      </c>
      <c r="RA2" s="214">
        <f>Equipment_Total!F20</f>
        <v>0</v>
      </c>
      <c r="RB2" s="214">
        <f>Equipment_Total!F21</f>
        <v>0</v>
      </c>
      <c r="RC2" s="214">
        <f>Equipment_Total!F22</f>
        <v>0</v>
      </c>
      <c r="RD2" s="214">
        <f>Equipment_Total!F23</f>
        <v>0</v>
      </c>
      <c r="RE2" s="214">
        <f>Equipment_Total!F24</f>
        <v>0</v>
      </c>
      <c r="RF2" s="214">
        <f>Equipment_Total!F25</f>
        <v>0</v>
      </c>
      <c r="RG2" s="214">
        <f>Equipment_Total!F26</f>
        <v>0</v>
      </c>
      <c r="RH2" s="214">
        <f>Equipment_Total!F27</f>
        <v>0</v>
      </c>
      <c r="RI2" s="214">
        <f>Equipment_Total!F28</f>
        <v>0</v>
      </c>
      <c r="RJ2" s="214">
        <f>Equipment_Total!F29</f>
        <v>0</v>
      </c>
      <c r="RK2" s="214">
        <f>Equipment_Total!F33</f>
        <v>4101.6000000000004</v>
      </c>
      <c r="RL2" s="214">
        <f>Equipment_Total!F34</f>
        <v>0</v>
      </c>
      <c r="RM2" s="214">
        <f>Equipment_Total!F32</f>
        <v>0</v>
      </c>
      <c r="RN2" s="214">
        <f>Equipment_Total!K6</f>
        <v>0</v>
      </c>
      <c r="RO2" s="214">
        <f>Equipment_Total!K7</f>
        <v>0</v>
      </c>
      <c r="RP2" s="214">
        <f>Equipment_Total!K8</f>
        <v>0</v>
      </c>
      <c r="RQ2" s="214">
        <f>Equipment_Total!K9</f>
        <v>0</v>
      </c>
      <c r="RR2" s="214">
        <f>Equipment_Total!K10</f>
        <v>0</v>
      </c>
      <c r="RS2" s="214">
        <f>Equipment_Total!K11</f>
        <v>0</v>
      </c>
      <c r="RT2" s="214">
        <f>Equipment_Total!K12</f>
        <v>723696.50586652744</v>
      </c>
      <c r="RU2" s="214">
        <f>Equipment_Total!K13</f>
        <v>0</v>
      </c>
      <c r="RV2" s="214">
        <f>Equipment_Total!K14</f>
        <v>0</v>
      </c>
      <c r="RW2" s="214">
        <f>Equipment_Total!K15</f>
        <v>578957.20469322312</v>
      </c>
      <c r="RX2" s="214">
        <f>Equipment_Total!K16</f>
        <v>0</v>
      </c>
      <c r="RY2" s="214">
        <f>Equipment_Total!K19</f>
        <v>1974148.7820935841</v>
      </c>
      <c r="RZ2" s="214">
        <f>Equipment_Total!K20</f>
        <v>1164837.8758310408</v>
      </c>
      <c r="SA2" s="214">
        <f>Equipment_Total!K21</f>
        <v>1286488.8120840592</v>
      </c>
      <c r="SB2" s="214">
        <f>Equipment_Total!K22</f>
        <v>923931.75132569519</v>
      </c>
      <c r="SC2" s="214">
        <f>Equipment_Total!K23</f>
        <v>1472276.2912718402</v>
      </c>
      <c r="SD2" s="214">
        <f>Equipment_Total!K24</f>
        <v>168000</v>
      </c>
      <c r="SE2" s="214">
        <f>Equipment_Total!K25</f>
        <v>349782.4</v>
      </c>
      <c r="SF2" s="214">
        <f>Equipment_Total!K26</f>
        <v>1064315.0746666698</v>
      </c>
      <c r="SG2" s="214">
        <f>Equipment_Total!K27</f>
        <v>99254.52</v>
      </c>
      <c r="SH2" s="214">
        <f>Equipment_Total!K28</f>
        <v>1257345</v>
      </c>
      <c r="SI2" s="214">
        <f>Equipment_Total!K29</f>
        <v>490043.88420853938</v>
      </c>
      <c r="SJ2" s="214">
        <f>Equipment_Total!K33</f>
        <v>132122.88</v>
      </c>
      <c r="SK2" s="214">
        <f>Equipment_Total!K34</f>
        <v>334090.88</v>
      </c>
      <c r="SL2" s="214">
        <f>Equipment_Total!K32</f>
        <v>0</v>
      </c>
      <c r="SM2" s="215">
        <f>Equipment_Total!B6</f>
        <v>1</v>
      </c>
      <c r="SN2" s="215">
        <f>Equipment_Total!B7</f>
        <v>0</v>
      </c>
      <c r="SO2" s="215">
        <f>Equipment_Total!B8</f>
        <v>0</v>
      </c>
      <c r="SP2" s="215">
        <f>Equipment_Total!B9</f>
        <v>0</v>
      </c>
      <c r="SQ2" s="215">
        <f>Equipment_Total!B10</f>
        <v>0</v>
      </c>
      <c r="SR2" s="215">
        <f>Equipment_Total!B11</f>
        <v>1</v>
      </c>
      <c r="SS2" s="215">
        <f>Equipment_Total!B12</f>
        <v>3</v>
      </c>
      <c r="ST2" s="215">
        <f>Equipment_Total!B13</f>
        <v>3</v>
      </c>
      <c r="SU2" s="215">
        <f>Equipment_Total!B14</f>
        <v>0</v>
      </c>
      <c r="SV2" s="215">
        <f>Equipment_Total!B15</f>
        <v>2</v>
      </c>
      <c r="SW2" s="215">
        <f>Equipment_Total!B16</f>
        <v>0</v>
      </c>
      <c r="SX2" s="215">
        <f>Equipment_Total!B19</f>
        <v>7</v>
      </c>
      <c r="SY2" s="215">
        <f>Equipment_Total!B20</f>
        <v>2</v>
      </c>
      <c r="SZ2" s="215">
        <f>Equipment_Total!B21</f>
        <v>2</v>
      </c>
      <c r="TA2" s="215">
        <f>Equipment_Total!B22</f>
        <v>4</v>
      </c>
      <c r="TB2" s="215">
        <f>Equipment_Total!B23</f>
        <v>16</v>
      </c>
      <c r="TC2" s="215">
        <f>Equipment_Total!B24</f>
        <v>1</v>
      </c>
      <c r="TD2" s="215">
        <f>Equipment_Total!B25</f>
        <v>1</v>
      </c>
      <c r="TE2" s="215">
        <f>Equipment_Total!B26</f>
        <v>4</v>
      </c>
      <c r="TF2" s="215">
        <f>Equipment_Total!B27</f>
        <v>2</v>
      </c>
      <c r="TG2" s="215">
        <f>Equipment_Total!B28</f>
        <v>5</v>
      </c>
      <c r="TH2" s="215">
        <f>Equipment_Total!B29</f>
        <v>0</v>
      </c>
      <c r="TI2" s="215">
        <f>Equipment_Total!B33</f>
        <v>0</v>
      </c>
      <c r="TJ2" s="215">
        <f>Equipment_Total!B34</f>
        <v>0</v>
      </c>
      <c r="TK2" s="215">
        <f>Equipment_Total!B32</f>
        <v>0</v>
      </c>
      <c r="TL2" s="214">
        <f>Equipment_Total!H6</f>
        <v>915819.00763037242</v>
      </c>
      <c r="TM2" s="214">
        <f>Equipment_Total!H7</f>
        <v>0</v>
      </c>
      <c r="TN2" s="214">
        <f>Equipment_Total!H8</f>
        <v>0</v>
      </c>
      <c r="TO2" s="214">
        <f>Equipment_Total!H9</f>
        <v>0</v>
      </c>
      <c r="TP2" s="214">
        <f>Equipment_Total!H10</f>
        <v>0</v>
      </c>
      <c r="TQ2" s="214">
        <f>Equipment_Total!H11</f>
        <v>43968.073591146254</v>
      </c>
      <c r="TR2" s="214">
        <f>Equipment_Total!H12</f>
        <v>137213.87688196453</v>
      </c>
      <c r="TS2" s="214">
        <f>Equipment_Total!H13</f>
        <v>53512.435435429456</v>
      </c>
      <c r="TT2" s="214">
        <f>Equipment_Total!H14</f>
        <v>0</v>
      </c>
      <c r="TU2" s="214">
        <f>Equipment_Total!H15</f>
        <v>0</v>
      </c>
      <c r="TV2" s="214">
        <f>Equipment_Total!H16</f>
        <v>0</v>
      </c>
      <c r="TW2" s="214">
        <f>Equipment_Total!H19</f>
        <v>0</v>
      </c>
      <c r="TX2" s="214">
        <f>Equipment_Total!H20</f>
        <v>0</v>
      </c>
      <c r="TY2" s="214">
        <f>Equipment_Total!H21</f>
        <v>0</v>
      </c>
      <c r="TZ2" s="214">
        <f>Equipment_Total!H22</f>
        <v>0</v>
      </c>
      <c r="UA2" s="214">
        <f>Equipment_Total!H23</f>
        <v>0</v>
      </c>
      <c r="UB2" s="214">
        <f>Equipment_Total!H24</f>
        <v>0</v>
      </c>
      <c r="UC2" s="214">
        <f>Equipment_Total!H25</f>
        <v>0</v>
      </c>
      <c r="UD2" s="214">
        <f>Equipment_Total!H26</f>
        <v>0</v>
      </c>
      <c r="UE2" s="214">
        <f>Equipment_Total!H27</f>
        <v>0</v>
      </c>
      <c r="UF2" s="214">
        <f>Equipment_Total!H28</f>
        <v>0</v>
      </c>
      <c r="UG2" s="214">
        <f>Equipment_Total!H29</f>
        <v>0</v>
      </c>
      <c r="UH2" s="214">
        <f>Equipment_Total!H33</f>
        <v>3232.8</v>
      </c>
      <c r="UI2" s="214">
        <f>Equipment_Total!H34</f>
        <v>0</v>
      </c>
      <c r="UJ2" s="214">
        <f>Equipment_Total!H32</f>
        <v>0</v>
      </c>
      <c r="UK2" s="214">
        <f>Equipment_Total!I6</f>
        <v>905358.56851483381</v>
      </c>
      <c r="UL2" s="214">
        <f>Equipment_Total!I7</f>
        <v>0</v>
      </c>
      <c r="UM2" s="214">
        <f>Equipment_Total!I8</f>
        <v>0</v>
      </c>
      <c r="UN2" s="214">
        <f>Equipment_Total!I9</f>
        <v>0</v>
      </c>
      <c r="UO2" s="214">
        <f>Equipment_Total!I10</f>
        <v>0</v>
      </c>
      <c r="UP2" s="214">
        <f>Equipment_Total!I11</f>
        <v>251280.35166876647</v>
      </c>
      <c r="UQ2" s="214">
        <f>Equipment_Total!I12</f>
        <v>373312.93257225363</v>
      </c>
      <c r="UR2" s="214">
        <f>Equipment_Total!I13</f>
        <v>380793.93221118394</v>
      </c>
      <c r="US2" s="214">
        <f>Equipment_Total!I14</f>
        <v>0</v>
      </c>
      <c r="UT2" s="214">
        <f>Equipment_Total!I15</f>
        <v>0</v>
      </c>
      <c r="UU2" s="214">
        <f>Equipment_Total!I16</f>
        <v>0</v>
      </c>
      <c r="UV2" s="214">
        <f>Equipment_Total!I19</f>
        <v>0</v>
      </c>
      <c r="UW2" s="214">
        <f>Equipment_Total!I20</f>
        <v>0</v>
      </c>
      <c r="UX2" s="214">
        <f>Equipment_Total!I21</f>
        <v>0</v>
      </c>
      <c r="UY2" s="214">
        <f>Equipment_Total!I22</f>
        <v>0</v>
      </c>
      <c r="UZ2" s="214">
        <f>Equipment_Total!I23</f>
        <v>0</v>
      </c>
      <c r="VA2" s="214">
        <f>Equipment_Total!I24</f>
        <v>0</v>
      </c>
      <c r="VB2" s="214">
        <f>Equipment_Total!I25</f>
        <v>0</v>
      </c>
      <c r="VC2" s="214">
        <f>Equipment_Total!I26</f>
        <v>0</v>
      </c>
      <c r="VD2" s="214">
        <f>Equipment_Total!I27</f>
        <v>0</v>
      </c>
      <c r="VE2" s="214">
        <f>Equipment_Total!I28</f>
        <v>0</v>
      </c>
      <c r="VF2" s="214">
        <f>Equipment_Total!I29</f>
        <v>0</v>
      </c>
      <c r="VG2" s="214">
        <f>Equipment_Total!I33</f>
        <v>17635.2</v>
      </c>
      <c r="VH2" s="214">
        <f>Equipment_Total!I34</f>
        <v>0</v>
      </c>
      <c r="VI2" s="214">
        <f>Equipment_Total!I32</f>
        <v>0</v>
      </c>
      <c r="VJ2" s="214">
        <f>Equipment_Total!J6</f>
        <v>1990806.8860128629</v>
      </c>
      <c r="VK2" s="214">
        <f>Equipment_Total!J7</f>
        <v>0</v>
      </c>
      <c r="VL2" s="214">
        <f>Equipment_Total!J8</f>
        <v>0</v>
      </c>
      <c r="VM2" s="214">
        <f>Equipment_Total!J9</f>
        <v>0</v>
      </c>
      <c r="VN2" s="214">
        <f>Equipment_Total!J10</f>
        <v>0</v>
      </c>
      <c r="VO2" s="214">
        <f>Equipment_Total!J11</f>
        <v>151607.88320189179</v>
      </c>
      <c r="VP2" s="214">
        <f>Equipment_Total!J12</f>
        <v>975938.0568840499</v>
      </c>
      <c r="VQ2" s="214">
        <f>Equipment_Total!J13</f>
        <v>146113.30636662888</v>
      </c>
      <c r="VR2" s="214">
        <f>Equipment_Total!J14</f>
        <v>0</v>
      </c>
      <c r="VS2" s="214">
        <f>Equipment_Total!J15</f>
        <v>0</v>
      </c>
      <c r="VT2" s="214">
        <f>Equipment_Total!J16</f>
        <v>0</v>
      </c>
      <c r="VU2" s="214">
        <f>Equipment_Total!J19</f>
        <v>0</v>
      </c>
      <c r="VV2" s="214">
        <f>Equipment_Total!J20</f>
        <v>0</v>
      </c>
      <c r="VW2" s="214">
        <f>Equipment_Total!J21</f>
        <v>0</v>
      </c>
      <c r="VX2" s="214">
        <f>Equipment_Total!J22</f>
        <v>0</v>
      </c>
      <c r="VY2" s="214">
        <f>Equipment_Total!J23</f>
        <v>0</v>
      </c>
      <c r="VZ2" s="214">
        <f>Equipment_Total!J24</f>
        <v>0</v>
      </c>
      <c r="WA2" s="214">
        <f>Equipment_Total!J25</f>
        <v>0</v>
      </c>
      <c r="WB2" s="214">
        <f>Equipment_Total!J26</f>
        <v>0</v>
      </c>
      <c r="WC2" s="214">
        <f>Equipment_Total!J27</f>
        <v>0</v>
      </c>
      <c r="WD2" s="214">
        <f>Equipment_Total!J28</f>
        <v>0</v>
      </c>
      <c r="WE2" s="214">
        <f>Equipment_Total!J29</f>
        <v>0</v>
      </c>
      <c r="WF2" s="214">
        <f>Equipment_Total!J33</f>
        <v>48507.6</v>
      </c>
      <c r="WG2" s="214">
        <f>Equipment_Total!J34</f>
        <v>0</v>
      </c>
      <c r="WH2" s="214">
        <f>Equipment_Total!J32</f>
        <v>0</v>
      </c>
    </row>
    <row r="3" spans="1:606">
      <c r="OR3" s="214"/>
      <c r="OS3" s="214"/>
      <c r="OT3" s="214"/>
    </row>
    <row r="4" spans="1:606">
      <c r="OR4" s="214"/>
      <c r="OS4" s="214"/>
      <c r="OT4" s="214"/>
    </row>
    <row r="5" spans="1:606">
      <c r="OR5" s="214"/>
      <c r="OS5" s="214"/>
      <c r="OT5" s="2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TenderInfo</vt:lpstr>
      <vt:lpstr>DataForm</vt:lpstr>
      <vt:lpstr>Equipment_CostEstimators</vt:lpstr>
      <vt:lpstr>Equipment_DredgingEstimators</vt:lpstr>
      <vt:lpstr>Equipment_Total</vt:lpstr>
      <vt:lpstr>List</vt:lpstr>
      <vt:lpstr>Internal Equipment split</vt:lpstr>
      <vt:lpstr>DatabaseInput</vt:lpstr>
      <vt:lpstr>Bahraini</vt:lpstr>
      <vt:lpstr>Bespoke</vt:lpstr>
      <vt:lpstr>ContractForms</vt:lpstr>
      <vt:lpstr>ECC</vt:lpstr>
      <vt:lpstr>Fidic</vt:lpstr>
      <vt:lpstr>ICE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Ignace Steverlynck</dc:creator>
  <cp:lastModifiedBy>Fahad Ahamed Ibrahim</cp:lastModifiedBy>
  <cp:lastPrinted>2017-08-27T09:56:13Z</cp:lastPrinted>
  <dcterms:created xsi:type="dcterms:W3CDTF">2017-06-12T07:48:13Z</dcterms:created>
  <dcterms:modified xsi:type="dcterms:W3CDTF">2023-01-26T05:17:40Z</dcterms:modified>
</cp:coreProperties>
</file>